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hage\synapse_analysis\DAN uncaging\data\"/>
    </mc:Choice>
  </mc:AlternateContent>
  <xr:revisionPtr revIDLastSave="0" documentId="13_ncr:1_{F5403445-33BA-4DCA-96F0-783A424B54C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cells" sheetId="1" r:id="rId1"/>
    <sheet name="elder_uv_cal" sheetId="2" r:id="rId2"/>
    <sheet name="big_uv_cal" sheetId="3" r:id="rId3"/>
    <sheet name="tricky_tra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9" i="1" l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6" i="1"/>
  <c r="N45" i="1"/>
  <c r="N44" i="1"/>
  <c r="N43" i="1"/>
  <c r="N41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<sst xmlns="http://schemas.openxmlformats.org/spreadsheetml/2006/main" count="733" uniqueCount="291">
  <si>
    <t>cell_name</t>
  </si>
  <si>
    <t>mCherry_label</t>
  </si>
  <si>
    <t>rig</t>
  </si>
  <si>
    <t>folder_path</t>
  </si>
  <si>
    <t>file_list</t>
  </si>
  <si>
    <t>cell_notes</t>
  </si>
  <si>
    <t>mouse_treatment</t>
  </si>
  <si>
    <t>gap_free_file</t>
  </si>
  <si>
    <t>gf_abfsweep</t>
  </si>
  <si>
    <t>gf_min</t>
  </si>
  <si>
    <t>gf_max</t>
  </si>
  <si>
    <t>gf_mean_isi</t>
  </si>
  <si>
    <t>gf_std_isi</t>
  </si>
  <si>
    <t>gf_rate</t>
  </si>
  <si>
    <t>ap_peak</t>
  </si>
  <si>
    <t>ap_rise_t</t>
  </si>
  <si>
    <t>ap_trough</t>
  </si>
  <si>
    <t>ap_peak_trough_t</t>
  </si>
  <si>
    <t>ap_fwhm</t>
  </si>
  <si>
    <t>ap_udr</t>
  </si>
  <si>
    <t>day_id</t>
  </si>
  <si>
    <t>slice_id</t>
  </si>
  <si>
    <t>sex</t>
  </si>
  <si>
    <t>250917_cell1_TH</t>
  </si>
  <si>
    <t>positive</t>
  </si>
  <si>
    <t>elder</t>
  </si>
  <si>
    <t>C:/Users/tahage/Box/CreedLabBoxDrive/Travis/patch_clamp_data/2025_09_17/</t>
  </si>
  <si>
    <t>["2025_09_17_0002.abf","2025_09_17_0004.abf","2025_09_17_0005.abf","2025_09_17_0006.abf"]</t>
  </si>
  <si>
    <t>sham</t>
  </si>
  <si>
    <t>2025_09_17_0001.abf</t>
  </si>
  <si>
    <t>d250917</t>
  </si>
  <si>
    <t>d250917_s0</t>
  </si>
  <si>
    <t>male</t>
  </si>
  <si>
    <t>250917_cell2_TH</t>
  </si>
  <si>
    <t>["2025_09_17_0009.abf","2025_09_17_0010.abf"]</t>
  </si>
  <si>
    <t>2025_09_17_0011.abf</t>
  </si>
  <si>
    <t>250917_cell3_TH</t>
  </si>
  <si>
    <t>["2025_09_17_0015.abf"]</t>
  </si>
  <si>
    <t>high background rate</t>
  </si>
  <si>
    <t>sham_skip</t>
  </si>
  <si>
    <t>2025_09_17_0015.abf</t>
  </si>
  <si>
    <t>250917_cell4_TH</t>
  </si>
  <si>
    <t>["2025_09_17_0016.abf"]</t>
  </si>
  <si>
    <t>high/variable background rate</t>
  </si>
  <si>
    <t>2025_09_17_0017.abf</t>
  </si>
  <si>
    <t>250917_cell5_TH</t>
  </si>
  <si>
    <t>["2025_09_17_0019.abf"]</t>
  </si>
  <si>
    <t>2025_09_17_0020.abf</t>
  </si>
  <si>
    <t>d250917_s1</t>
  </si>
  <si>
    <t>250918_cell1_TH</t>
  </si>
  <si>
    <t>["2025_09_18_0008.abf"]</t>
  </si>
  <si>
    <t>SNI</t>
  </si>
  <si>
    <t>2025_09_18_0009.abf</t>
  </si>
  <si>
    <t>d250918</t>
  </si>
  <si>
    <t>d250918_s0</t>
  </si>
  <si>
    <t>250918_cell2_TH</t>
  </si>
  <si>
    <t>["2025_09_18_0010.abf"]</t>
  </si>
  <si>
    <t>2025_09_18_0011.abf</t>
  </si>
  <si>
    <t>250918_cell3_TH</t>
  </si>
  <si>
    <t>["2025_09_18_0020.abf", "2025_09_18_0022.abf"]</t>
  </si>
  <si>
    <t>2025_09_18_0021.abf</t>
  </si>
  <si>
    <t>250918_cell4_TH</t>
  </si>
  <si>
    <t>["2025_09_18_0026.abf"]</t>
  </si>
  <si>
    <t>2025_09_18_0027.abf</t>
  </si>
  <si>
    <t>250918_cell5_TH</t>
  </si>
  <si>
    <t>["2025_09_18_0029.abf", "2025_09_18_0031.abf"]</t>
  </si>
  <si>
    <t>2025_09_18_0030.abf</t>
  </si>
  <si>
    <t>250918_cell6_TH</t>
  </si>
  <si>
    <t>["2025_09_18_0032.abf"]</t>
  </si>
  <si>
    <t>2025_09_18_0033.abf</t>
  </si>
  <si>
    <t>d250918_s1</t>
  </si>
  <si>
    <t>250924_cell1_TH</t>
  </si>
  <si>
    <t>C:/Users/tahage/Box/CreedLabBoxDrive/Travis/patch_clamp_data/2025_09_24/</t>
  </si>
  <si>
    <t>["2025_09_24_0004.abf"]</t>
  </si>
  <si>
    <t>2025_09_24_0005.abf</t>
  </si>
  <si>
    <t>d250924</t>
  </si>
  <si>
    <t>d250924_s0</t>
  </si>
  <si>
    <t>250924_cell2_TH</t>
  </si>
  <si>
    <t>["2025_09_24_0007.abf"]</t>
  </si>
  <si>
    <t>2025_09_24_0008.abf</t>
  </si>
  <si>
    <t>250924_cell3_TH</t>
  </si>
  <si>
    <t>["2025_09_24_0012.abf"]</t>
  </si>
  <si>
    <t>2025_09_24_0013.abf</t>
  </si>
  <si>
    <t>250924_cell4_TH</t>
  </si>
  <si>
    <t>["2025_09_24_0015.abf"]</t>
  </si>
  <si>
    <t>2025_09_24_0014.abf</t>
  </si>
  <si>
    <t>250924_cell5_TH</t>
  </si>
  <si>
    <t>["2025_09_24_0017.abf"]</t>
  </si>
  <si>
    <t>2025_09_24_0018.abf</t>
  </si>
  <si>
    <t>250924_cell6_TH</t>
  </si>
  <si>
    <t>["2025_09_24_0019.abf"]</t>
  </si>
  <si>
    <t>2025_09_24_0020.abf</t>
  </si>
  <si>
    <t>250925_cell1_TH</t>
  </si>
  <si>
    <t>["2025_09_25_0004.abf"]</t>
  </si>
  <si>
    <t>2025_09_25_0005.abf</t>
  </si>
  <si>
    <t>d250925</t>
  </si>
  <si>
    <t>d250925_s0</t>
  </si>
  <si>
    <t>250925_cell3_TH</t>
  </si>
  <si>
    <t>["2025_09_25_0010.abf"]</t>
  </si>
  <si>
    <t>2025_09_25_0011.abf</t>
  </si>
  <si>
    <t>250925_cell4_TH</t>
  </si>
  <si>
    <t>["2025_09_25_0013.abf"]</t>
  </si>
  <si>
    <t>2025_09_25_0014.abf</t>
  </si>
  <si>
    <t>250925_cell5_TH</t>
  </si>
  <si>
    <t>["2025_09_25_0016.abf"]</t>
  </si>
  <si>
    <t>2025_09_25_0017.abf</t>
  </si>
  <si>
    <t>250925_cell6_TH</t>
  </si>
  <si>
    <t>["2025_09_25_0019.abf"]</t>
  </si>
  <si>
    <t>2025_09_25_0018.abf</t>
  </si>
  <si>
    <t>250925_cell7_TH</t>
  </si>
  <si>
    <t>["2025_09_25_0022.abf"]</t>
  </si>
  <si>
    <t>2025_09_25_0023.abf</t>
  </si>
  <si>
    <t>d250925_s1</t>
  </si>
  <si>
    <t>250925_cell8_TH</t>
  </si>
  <si>
    <t>negative</t>
  </si>
  <si>
    <t>["2025_09_25_0025.abf"]</t>
  </si>
  <si>
    <t>SNI_skip</t>
  </si>
  <si>
    <t>2025_09_25_0024.abf</t>
  </si>
  <si>
    <t>250925_cell9_TH</t>
  </si>
  <si>
    <t>["2025_09_25_0026.abf"]</t>
  </si>
  <si>
    <t>2025_09_25_0027.abf</t>
  </si>
  <si>
    <t>250925_cell10_TH</t>
  </si>
  <si>
    <t>["2025_09_25_0028.abf"]</t>
  </si>
  <si>
    <t>2025_09_25_0029.abf</t>
  </si>
  <si>
    <t>250925_cell11_TH</t>
  </si>
  <si>
    <t>["2025_09_25_0033.abf", "2025_09_25_0034.abf", "2025_09_25_0035.abf"]</t>
  </si>
  <si>
    <t>2025_09_25_0036.abf</t>
  </si>
  <si>
    <t>250925_cell12_TH</t>
  </si>
  <si>
    <t>likely positive</t>
  </si>
  <si>
    <t>["2025_09_25_0038.abf"]</t>
  </si>
  <si>
    <t>2025_09_25_0039.abf</t>
  </si>
  <si>
    <t>250926_cell1_TH</t>
  </si>
  <si>
    <t>["2025_09_26_0001.abf"]</t>
  </si>
  <si>
    <t>2025_09_26_0002.abf</t>
  </si>
  <si>
    <t>d250926</t>
  </si>
  <si>
    <t>d250926_s0</t>
  </si>
  <si>
    <t>250926_cell2_TH</t>
  </si>
  <si>
    <t>["2025_09_26_0003.abf"]</t>
  </si>
  <si>
    <t>2025_09_26_0004.abf</t>
  </si>
  <si>
    <t>250926_cell3_TH</t>
  </si>
  <si>
    <t>["2025_09_26_0005.abf", "2025_09_26_0006.abf"]</t>
  </si>
  <si>
    <t>2025_09_26_0007.abf</t>
  </si>
  <si>
    <t>250926_cell4_TH</t>
  </si>
  <si>
    <t>["2025_09_26_0008.abf", "2025_09_26_0009.abf"]</t>
  </si>
  <si>
    <t>2025_09_26_0010.abf</t>
  </si>
  <si>
    <t>250926_cell5_TH</t>
  </si>
  <si>
    <t>["2025_09_26_0012.abf"]</t>
  </si>
  <si>
    <t>2025_09_26_0013.abf</t>
  </si>
  <si>
    <t>250926_cell6_TH</t>
  </si>
  <si>
    <t>["2025_09_26_0015.abf", "2025_09_26_0016.abf"]</t>
  </si>
  <si>
    <t>2025_09_26_0017.abf</t>
  </si>
  <si>
    <t>d250926_s1</t>
  </si>
  <si>
    <t>250926_cell7_TH</t>
  </si>
  <si>
    <t>["2025_09_26_0018.abf", "2025_09_26_0019.abf"]</t>
  </si>
  <si>
    <t>2025_09_26_0020.abf</t>
  </si>
  <si>
    <t>250926_cell8_TH</t>
  </si>
  <si>
    <t>["2025_09_26_0022.abf"]</t>
  </si>
  <si>
    <t>2025_09_26_0023.abf</t>
  </si>
  <si>
    <t>250926_cell9_TH</t>
  </si>
  <si>
    <t>["2025_09_26_0025.abf"]</t>
  </si>
  <si>
    <t>2025_09_26_0024.abf</t>
  </si>
  <si>
    <t>250926_cell10_TH</t>
  </si>
  <si>
    <t>["2025_09_26_0026.abf"]</t>
  </si>
  <si>
    <t>2025_09_26_0027.abf</t>
  </si>
  <si>
    <t>250925_cell2_MC</t>
  </si>
  <si>
    <t>big</t>
  </si>
  <si>
    <t>["2025_09_25_0002.abf"]</t>
  </si>
  <si>
    <t>sparse spikes not timed to light</t>
  </si>
  <si>
    <t>d250925_s2</t>
  </si>
  <si>
    <t>250925_cell3_MC</t>
  </si>
  <si>
    <t>["2025_09_25_0003.abf"]</t>
  </si>
  <si>
    <t>2025_09_25_0003.abf</t>
  </si>
  <si>
    <t>250926_cell5_MC</t>
  </si>
  <si>
    <t>["2025_09_26_0005.abf"]</t>
  </si>
  <si>
    <t>d250926_s2</t>
  </si>
  <si>
    <t>250926_cell6_MC</t>
  </si>
  <si>
    <t>["2025_09_26_0006.abf"]</t>
  </si>
  <si>
    <t>2025_09_26_0006.abf</t>
  </si>
  <si>
    <t>250926_cell7_MC</t>
  </si>
  <si>
    <t>["2025_09_26_0007.abf"]</t>
  </si>
  <si>
    <t>251002_cell1_TH</t>
  </si>
  <si>
    <t>["2025_10_02_0004.abf", "2025_10_02_0005.abf"]</t>
  </si>
  <si>
    <t>2025_10_02_0006.abf</t>
  </si>
  <si>
    <t>d251002</t>
  </si>
  <si>
    <t>d251002_s0</t>
  </si>
  <si>
    <t>251002_cell2_TH</t>
  </si>
  <si>
    <t>["2025_10_02_0007.abf"]</t>
  </si>
  <si>
    <t>2025_10_02_0008.abf</t>
  </si>
  <si>
    <t>251002_cell3_TH</t>
  </si>
  <si>
    <t>["2025_10_02_0010.abf", "2025_10_02_0011.abf"]</t>
  </si>
  <si>
    <t>short spikes crunchy cell</t>
  </si>
  <si>
    <t>2025_10_02_0012.abf</t>
  </si>
  <si>
    <t>251002_cell4_TH</t>
  </si>
  <si>
    <t>["2025_10_02_0013.abf"]</t>
  </si>
  <si>
    <t>2025_10_02_0014.abf</t>
  </si>
  <si>
    <t>d251002_s1</t>
  </si>
  <si>
    <t>251002_cell5_TH</t>
  </si>
  <si>
    <t>["2025_10_02_0015.abf"]</t>
  </si>
  <si>
    <t>fast spiking</t>
  </si>
  <si>
    <t>2025_10_02_0017.abf</t>
  </si>
  <si>
    <t>251002_cell6_TH</t>
  </si>
  <si>
    <t>["2025_10_02_0019.abf"]</t>
  </si>
  <si>
    <t>2025_10_02_0020.abf</t>
  </si>
  <si>
    <t>d251002_s2</t>
  </si>
  <si>
    <t>251002_cell7_TH</t>
  </si>
  <si>
    <t>["2025_10_02_0021.abf"]</t>
  </si>
  <si>
    <t>2025_10_02_0021.abf</t>
  </si>
  <si>
    <t>d251002_s3</t>
  </si>
  <si>
    <t>251002_cell8_TH</t>
  </si>
  <si>
    <t>["2025_10_02_0024.abf"]</t>
  </si>
  <si>
    <t>2025_10_02_0025.abf</t>
  </si>
  <si>
    <t>251002_cell9_TH</t>
  </si>
  <si>
    <t>["2025_10_02_0026.abf"]</t>
  </si>
  <si>
    <t>2025_10_02_0027.abf</t>
  </si>
  <si>
    <t>251002_cell10_TH</t>
  </si>
  <si>
    <t>["2025_10_02_0028.abf"]</t>
  </si>
  <si>
    <t>2025_10_02_0029.abf</t>
  </si>
  <si>
    <t>d251002_s4</t>
  </si>
  <si>
    <t>251002_cell11_TH</t>
  </si>
  <si>
    <t>["2025_10_02_0031.abf"]</t>
  </si>
  <si>
    <t>2025_10_02_0030.abf</t>
  </si>
  <si>
    <t>251003_cell1_TH</t>
  </si>
  <si>
    <t>C:/Users/tahage/Box/CreedLabBoxDrive/Travis/patch_clamp_data/2025_10_03/</t>
  </si>
  <si>
    <t>["2025_10_03_0002.abf", "2025_10_03_0003.abf"]</t>
  </si>
  <si>
    <t>2025_10_03_0004.abf</t>
  </si>
  <si>
    <t>d251003</t>
  </si>
  <si>
    <t>d251003_s0</t>
  </si>
  <si>
    <t>251003_cell2_TH</t>
  </si>
  <si>
    <t>["2025_10_03_0005.abf"]</t>
  </si>
  <si>
    <t>2025_10_03_0006.abf</t>
  </si>
  <si>
    <t>251003_cell3_TH</t>
  </si>
  <si>
    <t>["2025_10_03_0007.abf"]</t>
  </si>
  <si>
    <t>2025_10_03_0008.abf</t>
  </si>
  <si>
    <t>251003_cell4_TH</t>
  </si>
  <si>
    <t>["2025_10_03_0009.abf"]</t>
  </si>
  <si>
    <t>2025_10_03_0010.abf</t>
  </si>
  <si>
    <t>251003_cell5_TH</t>
  </si>
  <si>
    <t>["2025_10_03_0011.abf"]</t>
  </si>
  <si>
    <t>2025_10_03_0012.abf</t>
  </si>
  <si>
    <t>251003_cell6_TH</t>
  </si>
  <si>
    <t>["2025_10_03_0013.abf"]</t>
  </si>
  <si>
    <t>2025_10_03_0014.abf</t>
  </si>
  <si>
    <t>251003_cell7_TH</t>
  </si>
  <si>
    <t>["2025_10_03_0015.abf"]</t>
  </si>
  <si>
    <t>2025_10_03_0016.abf</t>
  </si>
  <si>
    <t>d251003_s1</t>
  </si>
  <si>
    <t>251003_cell8_TH</t>
  </si>
  <si>
    <t>["2025_10_03_0019.abf"]</t>
  </si>
  <si>
    <t>2025_10_03_0018.abf</t>
  </si>
  <si>
    <t>251003_cell9_TH</t>
  </si>
  <si>
    <t>["2025_10_03_0020.abf"]</t>
  </si>
  <si>
    <t>2025_10_03_0021.abf</t>
  </si>
  <si>
    <t>251003_cell10_TH</t>
  </si>
  <si>
    <t>["2025_10_03_0023.abf"]</t>
  </si>
  <si>
    <t>2025_10_03_0022.abf</t>
  </si>
  <si>
    <t>251003_cell11_TH</t>
  </si>
  <si>
    <t>["2025_10_03_0026.abf"]</t>
  </si>
  <si>
    <t>2025_10_03_0027.abf</t>
  </si>
  <si>
    <t>251003_cell12_TH</t>
  </si>
  <si>
    <t>["2025_10_03_0028.abf"]</t>
  </si>
  <si>
    <t>2025_10_03_0029.abf</t>
  </si>
  <si>
    <t>251003_cell13_TH</t>
  </si>
  <si>
    <t>["2025_10_03_0030.abf"]</t>
  </si>
  <si>
    <t>2025_10_03_0031.abf</t>
  </si>
  <si>
    <t>d251003_s2</t>
  </si>
  <si>
    <t>251003_cell14_TH</t>
  </si>
  <si>
    <t>["2025_10_03_0033.abf"]</t>
  </si>
  <si>
    <t>2025_10_03_0034.abf</t>
  </si>
  <si>
    <t>UV_perc</t>
  </si>
  <si>
    <t>power_40x</t>
  </si>
  <si>
    <t>filepath</t>
  </si>
  <si>
    <t>file</t>
  </si>
  <si>
    <t>sweep</t>
  </si>
  <si>
    <t>notes</t>
  </si>
  <si>
    <t>2025_09_17_0006.abf</t>
  </si>
  <si>
    <t>high freq, dep block</t>
  </si>
  <si>
    <t>2025_09_17_0009.abf</t>
  </si>
  <si>
    <t>dinky</t>
  </si>
  <si>
    <t>2025_09_24_0007.abf</t>
  </si>
  <si>
    <t>false +</t>
  </si>
  <si>
    <t>['2025_10_03_0002.abf', '2025_10_03_0003.abf']</t>
  </si>
  <si>
    <t>['2025_10_03_0011.abf']</t>
  </si>
  <si>
    <t>fast spiking false negatives</t>
  </si>
  <si>
    <t>data/elder_rig/2025_09_17/</t>
  </si>
  <si>
    <t>data/elder_rig/2025_09_18/</t>
  </si>
  <si>
    <t>data/elder_rig/2025_09_24/</t>
  </si>
  <si>
    <t>data/elder_rig/2025_09_25/</t>
  </si>
  <si>
    <t>data/elder_rig/2025_09_26/</t>
  </si>
  <si>
    <t>data/elder_rig/2025_10_02/</t>
  </si>
  <si>
    <t>data/elder_rig/2025_10_03/</t>
  </si>
  <si>
    <t>data/big_rig/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</si>
</sst>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Menlo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5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D41" sqref="D41:D44"/>
    </sheetView>
  </sheetViews>
  <sheetFormatPr defaultColWidth="12.5703125" defaultRowHeight="15.75" customHeight="1"/>
  <cols>
    <col min="1" max="3" width="16.7109375" customWidth="1"/>
    <col min="4" max="4" width="62" customWidth="1"/>
    <col min="5" max="5" width="42" customWidth="1"/>
    <col min="8" max="8" width="15.5703125" customWidth="1"/>
    <col min="9" max="10" width="6.28515625" customWidth="1"/>
    <col min="11" max="11" width="6.7109375" customWidth="1"/>
    <col min="14" max="14" width="11.85546875" customWidth="1"/>
    <col min="15" max="15" width="9.140625" customWidth="1"/>
    <col min="16" max="16" width="9.28515625" customWidth="1"/>
    <col min="18" max="18" width="16.42578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283</v>
      </c>
      <c r="E2" s="1" t="s">
        <v>27</v>
      </c>
      <c r="G2" s="1" t="s">
        <v>28</v>
      </c>
      <c r="H2" s="1" t="s">
        <v>29</v>
      </c>
      <c r="L2" s="2">
        <v>0.20965034856700199</v>
      </c>
      <c r="M2" s="2">
        <v>0.14309651573214099</v>
      </c>
      <c r="N2" s="1">
        <f t="shared" ref="N2:N13" si="0">1/L2</f>
        <v>4.7698465890239659</v>
      </c>
      <c r="O2" s="2">
        <v>0.65653296071304501</v>
      </c>
      <c r="P2" s="2">
        <v>2.99999999999999E-4</v>
      </c>
      <c r="Q2" s="2">
        <v>-0.37389954257987601</v>
      </c>
      <c r="R2" s="2">
        <v>8.99999999999999E-4</v>
      </c>
      <c r="S2" s="2">
        <v>3.9999999999999899E-4</v>
      </c>
      <c r="T2" s="2">
        <v>1.0804850659646099</v>
      </c>
      <c r="U2" s="1" t="s">
        <v>30</v>
      </c>
      <c r="V2" s="1" t="s">
        <v>31</v>
      </c>
      <c r="W2" s="1" t="s">
        <v>32</v>
      </c>
    </row>
    <row r="3" spans="1:23">
      <c r="A3" s="1" t="s">
        <v>33</v>
      </c>
      <c r="B3" s="1" t="s">
        <v>24</v>
      </c>
      <c r="C3" s="1" t="s">
        <v>25</v>
      </c>
      <c r="D3" s="1" t="s">
        <v>283</v>
      </c>
      <c r="E3" s="1" t="s">
        <v>34</v>
      </c>
      <c r="G3" s="1" t="s">
        <v>28</v>
      </c>
      <c r="H3" s="1" t="s">
        <v>35</v>
      </c>
      <c r="I3" s="1"/>
      <c r="J3" s="1">
        <v>26</v>
      </c>
      <c r="K3" s="1">
        <v>85</v>
      </c>
      <c r="L3" s="2">
        <v>0.178380182926829</v>
      </c>
      <c r="M3" s="2">
        <v>6.6710019264745998E-2</v>
      </c>
      <c r="N3" s="1">
        <f t="shared" si="0"/>
        <v>5.6060038934380785</v>
      </c>
      <c r="O3" s="2">
        <v>0.49005748332216698</v>
      </c>
      <c r="P3" s="2">
        <v>2.99999999999999E-4</v>
      </c>
      <c r="Q3" s="2">
        <v>-0.265754534378499</v>
      </c>
      <c r="R3" s="2">
        <v>1E-3</v>
      </c>
      <c r="S3" s="2">
        <v>2.99999999999999E-4</v>
      </c>
      <c r="T3" s="2">
        <v>1.05710186885614</v>
      </c>
      <c r="U3" s="1" t="s">
        <v>30</v>
      </c>
      <c r="V3" s="1" t="s">
        <v>31</v>
      </c>
      <c r="W3" s="1" t="s">
        <v>32</v>
      </c>
    </row>
    <row r="4" spans="1:23">
      <c r="A4" s="1" t="s">
        <v>36</v>
      </c>
      <c r="B4" s="1" t="s">
        <v>24</v>
      </c>
      <c r="C4" s="1" t="s">
        <v>25</v>
      </c>
      <c r="D4" s="1" t="s">
        <v>283</v>
      </c>
      <c r="E4" s="1" t="s">
        <v>37</v>
      </c>
      <c r="F4" s="1" t="s">
        <v>38</v>
      </c>
      <c r="G4" s="1" t="s">
        <v>39</v>
      </c>
      <c r="H4" s="1" t="s">
        <v>40</v>
      </c>
      <c r="I4" s="1">
        <v>0</v>
      </c>
      <c r="J4" s="1">
        <v>0</v>
      </c>
      <c r="K4" s="1">
        <v>2.6</v>
      </c>
      <c r="L4" s="2">
        <v>4.2237499999999997E-2</v>
      </c>
      <c r="M4" s="2">
        <v>1.8581847404553199E-2</v>
      </c>
      <c r="N4" s="1">
        <f t="shared" si="0"/>
        <v>23.675643681562594</v>
      </c>
      <c r="O4" s="2">
        <v>0.28539303933271398</v>
      </c>
      <c r="P4" s="2">
        <v>4.4999999999999999E-4</v>
      </c>
      <c r="Q4" s="2">
        <v>-0.27514901995931201</v>
      </c>
      <c r="R4" s="2">
        <v>8.99999999999999E-4</v>
      </c>
      <c r="S4" s="2">
        <v>5.0000000000000001E-4</v>
      </c>
      <c r="T4" s="2">
        <v>0.68370248755134899</v>
      </c>
      <c r="U4" s="1" t="s">
        <v>30</v>
      </c>
      <c r="V4" s="1" t="s">
        <v>31</v>
      </c>
      <c r="W4" s="1" t="s">
        <v>32</v>
      </c>
    </row>
    <row r="5" spans="1:23">
      <c r="A5" s="1" t="s">
        <v>41</v>
      </c>
      <c r="B5" s="1" t="s">
        <v>24</v>
      </c>
      <c r="C5" s="1" t="s">
        <v>25</v>
      </c>
      <c r="D5" s="1" t="s">
        <v>283</v>
      </c>
      <c r="E5" s="1" t="s">
        <v>42</v>
      </c>
      <c r="F5" s="1" t="s">
        <v>43</v>
      </c>
      <c r="G5" s="1" t="s">
        <v>28</v>
      </c>
      <c r="H5" s="1" t="s">
        <v>44</v>
      </c>
      <c r="L5" s="2">
        <v>0.18063506944444399</v>
      </c>
      <c r="M5" s="2">
        <v>0.22198013807623099</v>
      </c>
      <c r="N5" s="1">
        <f t="shared" si="0"/>
        <v>5.5360235588558258</v>
      </c>
      <c r="O5" s="2">
        <v>0.67311272842340997</v>
      </c>
      <c r="P5" s="2">
        <v>7.0000000000000097E-4</v>
      </c>
      <c r="Q5" s="2">
        <v>-0.374444461260168</v>
      </c>
      <c r="R5" s="2">
        <v>1.79999999999999E-3</v>
      </c>
      <c r="S5" s="2">
        <v>8.0000000000000004E-4</v>
      </c>
      <c r="T5" s="2">
        <v>1.2002188422534099</v>
      </c>
      <c r="U5" s="1" t="s">
        <v>30</v>
      </c>
      <c r="V5" s="1" t="s">
        <v>31</v>
      </c>
      <c r="W5" s="1" t="s">
        <v>32</v>
      </c>
    </row>
    <row r="6" spans="1:23">
      <c r="A6" s="1" t="s">
        <v>45</v>
      </c>
      <c r="B6" s="1" t="s">
        <v>24</v>
      </c>
      <c r="C6" s="1" t="s">
        <v>25</v>
      </c>
      <c r="D6" s="1" t="s">
        <v>283</v>
      </c>
      <c r="E6" s="1" t="s">
        <v>46</v>
      </c>
      <c r="F6" s="1" t="s">
        <v>38</v>
      </c>
      <c r="G6" s="1" t="s">
        <v>28</v>
      </c>
      <c r="H6" s="1" t="s">
        <v>47</v>
      </c>
      <c r="L6" s="2">
        <v>0.25343382663847702</v>
      </c>
      <c r="M6" s="2">
        <v>0.399385821114835</v>
      </c>
      <c r="N6" s="1">
        <f t="shared" si="0"/>
        <v>3.9458031836708938</v>
      </c>
      <c r="O6" s="2">
        <v>1.58842693835121</v>
      </c>
      <c r="P6" s="2">
        <v>5.0000000000000001E-4</v>
      </c>
      <c r="Q6" s="2">
        <v>-0.87092211662647601</v>
      </c>
      <c r="R6" s="2">
        <v>1.4E-3</v>
      </c>
      <c r="S6" s="2">
        <v>6.0000000000000103E-4</v>
      </c>
      <c r="T6" s="2">
        <v>1.1167945623080999</v>
      </c>
      <c r="U6" s="1" t="s">
        <v>30</v>
      </c>
      <c r="V6" s="1" t="s">
        <v>48</v>
      </c>
      <c r="W6" s="1" t="s">
        <v>32</v>
      </c>
    </row>
    <row r="7" spans="1:23">
      <c r="A7" s="1" t="s">
        <v>49</v>
      </c>
      <c r="B7" s="1" t="s">
        <v>24</v>
      </c>
      <c r="C7" s="1" t="s">
        <v>25</v>
      </c>
      <c r="D7" s="1" t="s">
        <v>284</v>
      </c>
      <c r="E7" s="1" t="s">
        <v>50</v>
      </c>
      <c r="G7" s="1" t="s">
        <v>51</v>
      </c>
      <c r="H7" s="1" t="s">
        <v>52</v>
      </c>
      <c r="L7" s="2">
        <v>0.59924067796610103</v>
      </c>
      <c r="M7" s="2">
        <v>0.117154188880235</v>
      </c>
      <c r="N7" s="1">
        <f t="shared" si="0"/>
        <v>1.6687785672263222</v>
      </c>
      <c r="O7" s="2">
        <v>0.45628324913456803</v>
      </c>
      <c r="P7" s="2">
        <v>8.0000000000000004E-4</v>
      </c>
      <c r="Q7" s="2">
        <v>-0.216276701108299</v>
      </c>
      <c r="R7" s="2">
        <v>2.7000000000000001E-3</v>
      </c>
      <c r="S7" s="2">
        <v>1.1999999999999899E-3</v>
      </c>
      <c r="T7" s="2">
        <v>1.5614531938298599</v>
      </c>
      <c r="U7" s="1" t="s">
        <v>53</v>
      </c>
      <c r="V7" s="1" t="s">
        <v>54</v>
      </c>
      <c r="W7" s="1" t="s">
        <v>32</v>
      </c>
    </row>
    <row r="8" spans="1:23">
      <c r="A8" s="1" t="s">
        <v>55</v>
      </c>
      <c r="B8" s="1" t="s">
        <v>24</v>
      </c>
      <c r="C8" s="1" t="s">
        <v>25</v>
      </c>
      <c r="D8" s="1" t="s">
        <v>284</v>
      </c>
      <c r="E8" s="1" t="s">
        <v>56</v>
      </c>
      <c r="G8" s="1" t="s">
        <v>51</v>
      </c>
      <c r="H8" s="1" t="s">
        <v>57</v>
      </c>
      <c r="I8" s="1"/>
      <c r="J8" s="1">
        <v>0</v>
      </c>
      <c r="K8" s="1">
        <v>110</v>
      </c>
      <c r="L8" s="2">
        <v>0.39887127272727202</v>
      </c>
      <c r="M8" s="2">
        <v>0.10845112059629899</v>
      </c>
      <c r="N8" s="1">
        <f t="shared" si="0"/>
        <v>2.5070745084310682</v>
      </c>
      <c r="O8" s="2">
        <v>0.78828800845723102</v>
      </c>
      <c r="P8" s="2">
        <v>7.0000000000000097E-4</v>
      </c>
      <c r="Q8" s="2">
        <v>-0.407786577858122</v>
      </c>
      <c r="R8" s="2">
        <v>2.3999999999999998E-3</v>
      </c>
      <c r="S8" s="2">
        <v>8.99999999999999E-4</v>
      </c>
      <c r="T8" s="2">
        <v>1.0753402327064401</v>
      </c>
      <c r="U8" s="1" t="s">
        <v>53</v>
      </c>
      <c r="V8" s="1" t="s">
        <v>54</v>
      </c>
      <c r="W8" s="1" t="s">
        <v>32</v>
      </c>
    </row>
    <row r="9" spans="1:23">
      <c r="A9" s="1" t="s">
        <v>58</v>
      </c>
      <c r="B9" s="1" t="s">
        <v>24</v>
      </c>
      <c r="C9" s="1" t="s">
        <v>25</v>
      </c>
      <c r="D9" s="1" t="s">
        <v>284</v>
      </c>
      <c r="E9" s="1" t="s">
        <v>59</v>
      </c>
      <c r="G9" s="1" t="s">
        <v>51</v>
      </c>
      <c r="H9" s="1" t="s">
        <v>60</v>
      </c>
      <c r="L9" s="2">
        <v>0.69206571428571395</v>
      </c>
      <c r="M9" s="2">
        <v>9.1763184787896093E-2</v>
      </c>
      <c r="N9" s="1">
        <f t="shared" si="0"/>
        <v>1.4449494886943031</v>
      </c>
      <c r="O9" s="2">
        <v>0.240219531607127</v>
      </c>
      <c r="P9" s="2">
        <v>1.29999999999999E-3</v>
      </c>
      <c r="Q9" s="2">
        <v>-0.116202045850945</v>
      </c>
      <c r="R9" s="2">
        <v>2.5000000000000001E-3</v>
      </c>
      <c r="S9" s="2">
        <v>6.0000000000000103E-4</v>
      </c>
      <c r="T9" s="2">
        <v>1.02258264824228</v>
      </c>
      <c r="U9" s="1" t="s">
        <v>53</v>
      </c>
      <c r="V9" s="1" t="s">
        <v>54</v>
      </c>
      <c r="W9" s="1" t="s">
        <v>32</v>
      </c>
    </row>
    <row r="10" spans="1:23">
      <c r="A10" s="1" t="s">
        <v>61</v>
      </c>
      <c r="B10" s="1" t="s">
        <v>24</v>
      </c>
      <c r="C10" s="1" t="s">
        <v>25</v>
      </c>
      <c r="D10" s="1" t="s">
        <v>284</v>
      </c>
      <c r="E10" s="1" t="s">
        <v>62</v>
      </c>
      <c r="G10" s="1" t="s">
        <v>51</v>
      </c>
      <c r="H10" s="1" t="s">
        <v>63</v>
      </c>
      <c r="L10" s="2">
        <v>0.68638144796380096</v>
      </c>
      <c r="M10" s="2">
        <v>0.11119878532971</v>
      </c>
      <c r="N10" s="1">
        <f t="shared" si="0"/>
        <v>1.4569158344337112</v>
      </c>
      <c r="O10" s="2">
        <v>0.248265822823833</v>
      </c>
      <c r="P10" s="2">
        <v>6.4999999999999899E-4</v>
      </c>
      <c r="Q10" s="2">
        <v>-0.133370573590294</v>
      </c>
      <c r="R10" s="2">
        <v>2.0499999999999902E-3</v>
      </c>
      <c r="S10" s="2">
        <v>5.5000000000000003E-4</v>
      </c>
      <c r="T10" s="2">
        <v>0.80739640856224004</v>
      </c>
      <c r="U10" s="1" t="s">
        <v>53</v>
      </c>
      <c r="V10" s="1" t="s">
        <v>54</v>
      </c>
      <c r="W10" s="1" t="s">
        <v>32</v>
      </c>
    </row>
    <row r="11" spans="1:23">
      <c r="A11" s="1" t="s">
        <v>64</v>
      </c>
      <c r="B11" s="1" t="s">
        <v>24</v>
      </c>
      <c r="C11" s="1" t="s">
        <v>25</v>
      </c>
      <c r="D11" s="1" t="s">
        <v>284</v>
      </c>
      <c r="E11" s="1" t="s">
        <v>65</v>
      </c>
      <c r="G11" s="1" t="s">
        <v>51</v>
      </c>
      <c r="H11" s="1" t="s">
        <v>66</v>
      </c>
      <c r="L11" s="2">
        <v>0.41355044247787598</v>
      </c>
      <c r="M11" s="2">
        <v>4.09903370702982E-2</v>
      </c>
      <c r="N11" s="1">
        <f t="shared" si="0"/>
        <v>2.418084705721232</v>
      </c>
      <c r="O11" s="2">
        <v>1.2865527251883699</v>
      </c>
      <c r="P11" s="2">
        <v>5.9999999999999897E-4</v>
      </c>
      <c r="Q11" s="2">
        <v>-0.79990216357976696</v>
      </c>
      <c r="R11" s="2">
        <v>2.2000000000000001E-3</v>
      </c>
      <c r="S11" s="2">
        <v>8.0000000000000004E-4</v>
      </c>
      <c r="T11" s="2">
        <v>1.14703223409593</v>
      </c>
      <c r="U11" s="1" t="s">
        <v>53</v>
      </c>
      <c r="V11" s="1" t="s">
        <v>54</v>
      </c>
      <c r="W11" s="1" t="s">
        <v>32</v>
      </c>
    </row>
    <row r="12" spans="1:23">
      <c r="A12" s="1" t="s">
        <v>67</v>
      </c>
      <c r="B12" s="1" t="s">
        <v>24</v>
      </c>
      <c r="C12" s="1" t="s">
        <v>25</v>
      </c>
      <c r="D12" s="1" t="s">
        <v>284</v>
      </c>
      <c r="E12" s="1" t="s">
        <v>68</v>
      </c>
      <c r="G12" s="1" t="s">
        <v>51</v>
      </c>
      <c r="H12" s="1" t="s">
        <v>69</v>
      </c>
      <c r="I12" s="1"/>
      <c r="J12" s="1">
        <v>0</v>
      </c>
      <c r="K12" s="1">
        <v>78</v>
      </c>
      <c r="L12" s="2">
        <v>0.443401428571428</v>
      </c>
      <c r="M12" s="2">
        <v>3.0611196597697E-2</v>
      </c>
      <c r="N12" s="1">
        <f t="shared" si="0"/>
        <v>2.2552926886632911</v>
      </c>
      <c r="O12" s="2">
        <v>0.76766048465629699</v>
      </c>
      <c r="P12" s="2">
        <v>7.0000000000000097E-4</v>
      </c>
      <c r="Q12" s="2">
        <v>-0.47022695851218499</v>
      </c>
      <c r="R12" s="2">
        <v>2.8E-3</v>
      </c>
      <c r="S12" s="2">
        <v>9.4999999999999902E-4</v>
      </c>
      <c r="T12" s="2">
        <v>1.0068577041370801</v>
      </c>
      <c r="U12" s="1" t="s">
        <v>53</v>
      </c>
      <c r="V12" s="1" t="s">
        <v>70</v>
      </c>
      <c r="W12" s="1" t="s">
        <v>32</v>
      </c>
    </row>
    <row r="13" spans="1:23">
      <c r="A13" s="1" t="s">
        <v>71</v>
      </c>
      <c r="B13" s="1" t="s">
        <v>24</v>
      </c>
      <c r="C13" s="1" t="s">
        <v>25</v>
      </c>
      <c r="D13" s="1" t="s">
        <v>285</v>
      </c>
      <c r="E13" s="1" t="s">
        <v>73</v>
      </c>
      <c r="G13" s="1" t="s">
        <v>28</v>
      </c>
      <c r="H13" s="1" t="s">
        <v>74</v>
      </c>
      <c r="L13" s="2">
        <v>0.84225222222222196</v>
      </c>
      <c r="M13" s="2">
        <v>0.17157343154094801</v>
      </c>
      <c r="N13" s="1">
        <f t="shared" si="0"/>
        <v>1.1872928009160628</v>
      </c>
      <c r="O13" s="2">
        <v>0.21989795479476401</v>
      </c>
      <c r="P13" s="2">
        <v>2.99999999999999E-4</v>
      </c>
      <c r="Q13" s="2">
        <v>-9.7980377071358996E-2</v>
      </c>
      <c r="R13" s="2">
        <v>1.15E-3</v>
      </c>
      <c r="S13" s="2">
        <v>4.4999999999999999E-4</v>
      </c>
      <c r="T13" s="2">
        <v>0.97346996866953395</v>
      </c>
      <c r="U13" s="1" t="s">
        <v>75</v>
      </c>
      <c r="V13" s="1" t="s">
        <v>76</v>
      </c>
      <c r="W13" s="1" t="s">
        <v>32</v>
      </c>
    </row>
    <row r="14" spans="1:23">
      <c r="A14" s="1" t="s">
        <v>77</v>
      </c>
      <c r="B14" s="1" t="s">
        <v>24</v>
      </c>
      <c r="C14" s="1" t="s">
        <v>25</v>
      </c>
      <c r="D14" s="1" t="s">
        <v>285</v>
      </c>
      <c r="E14" s="1" t="s">
        <v>78</v>
      </c>
      <c r="G14" s="1" t="s">
        <v>28</v>
      </c>
      <c r="H14" s="1" t="s">
        <v>79</v>
      </c>
      <c r="N14" s="1">
        <v>0</v>
      </c>
      <c r="O14" s="2">
        <v>2.5395935537130101</v>
      </c>
      <c r="P14" s="2">
        <v>2.0000000000000001E-4</v>
      </c>
      <c r="Q14" s="2">
        <v>-1.78789313431243</v>
      </c>
      <c r="R14" s="2">
        <v>9.4999999999999902E-4</v>
      </c>
      <c r="S14" s="2">
        <v>3.9999999999999899E-4</v>
      </c>
      <c r="T14" s="2">
        <v>1.5450782112668699</v>
      </c>
      <c r="U14" s="1" t="s">
        <v>75</v>
      </c>
      <c r="V14" s="1" t="s">
        <v>76</v>
      </c>
      <c r="W14" s="1" t="s">
        <v>32</v>
      </c>
    </row>
    <row r="15" spans="1:23">
      <c r="A15" s="1" t="s">
        <v>80</v>
      </c>
      <c r="B15" s="1" t="s">
        <v>24</v>
      </c>
      <c r="C15" s="1" t="s">
        <v>25</v>
      </c>
      <c r="D15" s="1" t="s">
        <v>285</v>
      </c>
      <c r="E15" s="1" t="s">
        <v>81</v>
      </c>
      <c r="G15" s="1" t="s">
        <v>28</v>
      </c>
      <c r="H15" s="1" t="s">
        <v>82</v>
      </c>
      <c r="N15" s="1">
        <v>0</v>
      </c>
      <c r="O15" s="2">
        <v>0.97347307231665803</v>
      </c>
      <c r="P15" s="2">
        <v>2.0000000000000001E-4</v>
      </c>
      <c r="Q15" s="2">
        <v>-0.56443629748319601</v>
      </c>
      <c r="R15" s="2">
        <v>7.5000000000000002E-4</v>
      </c>
      <c r="S15" s="2">
        <v>2.99999999999999E-4</v>
      </c>
      <c r="T15" s="2">
        <v>1.2176742682587101</v>
      </c>
      <c r="U15" s="1" t="s">
        <v>75</v>
      </c>
      <c r="V15" s="1" t="s">
        <v>76</v>
      </c>
      <c r="W15" s="1" t="s">
        <v>32</v>
      </c>
    </row>
    <row r="16" spans="1:23">
      <c r="A16" s="1" t="s">
        <v>83</v>
      </c>
      <c r="B16" s="1" t="s">
        <v>24</v>
      </c>
      <c r="C16" s="1" t="s">
        <v>25</v>
      </c>
      <c r="D16" s="1" t="s">
        <v>285</v>
      </c>
      <c r="E16" s="1" t="s">
        <v>84</v>
      </c>
      <c r="G16" s="1" t="s">
        <v>28</v>
      </c>
      <c r="H16" s="1" t="s">
        <v>85</v>
      </c>
      <c r="L16" s="2">
        <v>0.75860258064516095</v>
      </c>
      <c r="M16" s="2">
        <v>0.26797688204671399</v>
      </c>
      <c r="N16" s="1">
        <f t="shared" ref="N16:N39" si="1">1/L16</f>
        <v>1.318213285208627</v>
      </c>
      <c r="O16" s="2">
        <v>0.44182801381495801</v>
      </c>
      <c r="P16" s="2">
        <v>2.5000000000000001E-4</v>
      </c>
      <c r="Q16" s="2">
        <v>-0.29525542192795801</v>
      </c>
      <c r="R16" s="2">
        <v>8.99999999999999E-4</v>
      </c>
      <c r="S16" s="2">
        <v>3.4999999999999902E-4</v>
      </c>
      <c r="T16" s="2">
        <v>1.23015780154847</v>
      </c>
      <c r="U16" s="1" t="s">
        <v>75</v>
      </c>
      <c r="V16" s="1" t="s">
        <v>76</v>
      </c>
      <c r="W16" s="1" t="s">
        <v>32</v>
      </c>
    </row>
    <row r="17" spans="1:23">
      <c r="A17" s="1" t="s">
        <v>86</v>
      </c>
      <c r="B17" s="1" t="s">
        <v>24</v>
      </c>
      <c r="C17" s="1" t="s">
        <v>25</v>
      </c>
      <c r="D17" s="1" t="s">
        <v>285</v>
      </c>
      <c r="E17" s="1" t="s">
        <v>87</v>
      </c>
      <c r="G17" s="1" t="s">
        <v>28</v>
      </c>
      <c r="H17" s="1" t="s">
        <v>88</v>
      </c>
      <c r="I17" s="1"/>
      <c r="J17" s="1">
        <v>0</v>
      </c>
      <c r="K17" s="1">
        <v>68</v>
      </c>
      <c r="L17" s="2">
        <v>0.23769565972222201</v>
      </c>
      <c r="M17" s="2">
        <v>0.11433340294128599</v>
      </c>
      <c r="N17" s="1">
        <f t="shared" si="1"/>
        <v>4.2070604114884924</v>
      </c>
      <c r="O17" s="2">
        <v>0.52967069521311605</v>
      </c>
      <c r="P17" s="2">
        <v>2.5000000000000001E-4</v>
      </c>
      <c r="Q17" s="2">
        <v>-0.31768560974145099</v>
      </c>
      <c r="R17" s="2">
        <v>8.0000000000000004E-4</v>
      </c>
      <c r="S17" s="2">
        <v>3.4999999999999902E-4</v>
      </c>
      <c r="T17" s="2">
        <v>0.91566617782983195</v>
      </c>
      <c r="U17" s="1" t="s">
        <v>75</v>
      </c>
      <c r="V17" s="1" t="s">
        <v>76</v>
      </c>
      <c r="W17" s="1" t="s">
        <v>32</v>
      </c>
    </row>
    <row r="18" spans="1:23">
      <c r="A18" s="1" t="s">
        <v>89</v>
      </c>
      <c r="B18" s="1" t="s">
        <v>24</v>
      </c>
      <c r="C18" s="1" t="s">
        <v>25</v>
      </c>
      <c r="D18" s="1" t="s">
        <v>285</v>
      </c>
      <c r="E18" s="1" t="s">
        <v>90</v>
      </c>
      <c r="G18" s="1" t="s">
        <v>28</v>
      </c>
      <c r="H18" s="1" t="s">
        <v>91</v>
      </c>
      <c r="L18" s="2">
        <v>21.041274999999999</v>
      </c>
      <c r="M18" s="2">
        <v>20.026218637357601</v>
      </c>
      <c r="N18" s="1">
        <f t="shared" si="1"/>
        <v>4.7525637110868997E-2</v>
      </c>
      <c r="O18" s="2">
        <v>0.56899720893318395</v>
      </c>
      <c r="P18" s="2">
        <v>2.0000000000000001E-4</v>
      </c>
      <c r="Q18" s="2">
        <v>-0.30881123456783799</v>
      </c>
      <c r="R18" s="2">
        <v>1.1000000000000001E-3</v>
      </c>
      <c r="S18" s="2">
        <v>3.9999999999999899E-4</v>
      </c>
      <c r="T18" s="2">
        <v>1.3623919583409301</v>
      </c>
      <c r="U18" s="1" t="s">
        <v>75</v>
      </c>
      <c r="V18" s="1" t="s">
        <v>76</v>
      </c>
      <c r="W18" s="1" t="s">
        <v>32</v>
      </c>
    </row>
    <row r="19" spans="1:23">
      <c r="A19" s="1" t="s">
        <v>92</v>
      </c>
      <c r="B19" s="1" t="s">
        <v>24</v>
      </c>
      <c r="C19" s="1" t="s">
        <v>25</v>
      </c>
      <c r="D19" s="1" t="s">
        <v>286</v>
      </c>
      <c r="E19" s="1" t="s">
        <v>93</v>
      </c>
      <c r="G19" s="1" t="s">
        <v>51</v>
      </c>
      <c r="H19" s="1" t="s">
        <v>94</v>
      </c>
      <c r="I19" s="1"/>
      <c r="J19" s="1">
        <v>21.1</v>
      </c>
      <c r="K19" s="1">
        <v>100</v>
      </c>
      <c r="L19" s="2">
        <v>0.37130074074073999</v>
      </c>
      <c r="M19" s="2">
        <v>5.4913324167172303E-2</v>
      </c>
      <c r="N19" s="1">
        <f t="shared" si="1"/>
        <v>2.693234594698124</v>
      </c>
      <c r="O19" s="2">
        <v>0.69916240087334303</v>
      </c>
      <c r="P19" s="2">
        <v>5.5000000000000003E-4</v>
      </c>
      <c r="Q19" s="2">
        <v>-0.37381851851460401</v>
      </c>
      <c r="R19" s="2">
        <v>1.9499999999999999E-3</v>
      </c>
      <c r="S19" s="2">
        <v>5.9999999999999897E-4</v>
      </c>
      <c r="T19" s="2">
        <v>1.1394324308094801</v>
      </c>
      <c r="U19" s="1" t="s">
        <v>95</v>
      </c>
      <c r="V19" s="1" t="s">
        <v>96</v>
      </c>
      <c r="W19" s="1" t="s">
        <v>32</v>
      </c>
    </row>
    <row r="20" spans="1:23">
      <c r="A20" s="1" t="s">
        <v>97</v>
      </c>
      <c r="B20" s="1" t="s">
        <v>24</v>
      </c>
      <c r="C20" s="1" t="s">
        <v>25</v>
      </c>
      <c r="D20" s="1" t="s">
        <v>286</v>
      </c>
      <c r="E20" s="1" t="s">
        <v>98</v>
      </c>
      <c r="G20" s="1" t="s">
        <v>51</v>
      </c>
      <c r="H20" s="1" t="s">
        <v>99</v>
      </c>
      <c r="L20" s="2">
        <v>0.19943993506493499</v>
      </c>
      <c r="M20" s="2">
        <v>1.3712226622741601E-2</v>
      </c>
      <c r="N20" s="1">
        <f t="shared" si="1"/>
        <v>5.0140409425745815</v>
      </c>
      <c r="O20" s="2">
        <v>1.17458198740035</v>
      </c>
      <c r="P20" s="2">
        <v>7.0000000000000097E-4</v>
      </c>
      <c r="Q20" s="2">
        <v>-0.388683590753299</v>
      </c>
      <c r="R20" s="2">
        <v>2.8E-3</v>
      </c>
      <c r="S20" s="2">
        <v>9.9999999999999894E-4</v>
      </c>
      <c r="T20" s="2">
        <v>1.0522068582915101</v>
      </c>
      <c r="U20" s="1" t="s">
        <v>95</v>
      </c>
      <c r="V20" s="1" t="s">
        <v>96</v>
      </c>
      <c r="W20" s="1" t="s">
        <v>32</v>
      </c>
    </row>
    <row r="21" spans="1:23">
      <c r="A21" s="1" t="s">
        <v>100</v>
      </c>
      <c r="B21" s="1" t="s">
        <v>24</v>
      </c>
      <c r="C21" s="1" t="s">
        <v>25</v>
      </c>
      <c r="D21" s="1" t="s">
        <v>286</v>
      </c>
      <c r="E21" s="1" t="s">
        <v>101</v>
      </c>
      <c r="G21" s="1" t="s">
        <v>51</v>
      </c>
      <c r="H21" s="1" t="s">
        <v>102</v>
      </c>
      <c r="L21" s="2">
        <v>0.71844007936507903</v>
      </c>
      <c r="M21" s="2">
        <v>2.8267974119021301E-2</v>
      </c>
      <c r="N21" s="1">
        <f t="shared" si="1"/>
        <v>1.391904528605572</v>
      </c>
      <c r="O21" s="2">
        <v>2.6827451749075801</v>
      </c>
      <c r="P21" s="2">
        <v>5.0000000000000001E-4</v>
      </c>
      <c r="Q21" s="2">
        <v>-1.51617592137651</v>
      </c>
      <c r="R21" s="2">
        <v>2.3499999999999901E-3</v>
      </c>
      <c r="S21" s="2">
        <v>7.5000000000000002E-4</v>
      </c>
      <c r="T21" s="2">
        <v>1.4775217875890101</v>
      </c>
      <c r="U21" s="1" t="s">
        <v>95</v>
      </c>
      <c r="V21" s="1" t="s">
        <v>96</v>
      </c>
      <c r="W21" s="1" t="s">
        <v>32</v>
      </c>
    </row>
    <row r="22" spans="1:23">
      <c r="A22" s="1" t="s">
        <v>103</v>
      </c>
      <c r="B22" s="1" t="s">
        <v>24</v>
      </c>
      <c r="C22" s="1" t="s">
        <v>25</v>
      </c>
      <c r="D22" s="1" t="s">
        <v>286</v>
      </c>
      <c r="E22" s="1" t="s">
        <v>104</v>
      </c>
      <c r="G22" s="1" t="s">
        <v>51</v>
      </c>
      <c r="H22" s="1" t="s">
        <v>105</v>
      </c>
      <c r="I22" s="1"/>
      <c r="J22" s="1">
        <v>60</v>
      </c>
      <c r="K22" s="1">
        <v>100</v>
      </c>
      <c r="L22" s="2">
        <v>21.785499999999999</v>
      </c>
      <c r="N22" s="1">
        <f t="shared" si="1"/>
        <v>4.5902090840237775E-2</v>
      </c>
      <c r="O22" s="2">
        <v>0.43078770833343399</v>
      </c>
      <c r="P22" s="2">
        <v>5.9999999999999897E-4</v>
      </c>
      <c r="Q22" s="2">
        <v>-0.26482150967801599</v>
      </c>
      <c r="R22" s="2">
        <v>1.9499999999999999E-3</v>
      </c>
      <c r="S22" s="2">
        <v>4.4999999999999999E-4</v>
      </c>
      <c r="T22" s="2">
        <v>1.1019825730543</v>
      </c>
      <c r="U22" s="1" t="s">
        <v>95</v>
      </c>
      <c r="V22" s="1" t="s">
        <v>96</v>
      </c>
      <c r="W22" s="1" t="s">
        <v>32</v>
      </c>
    </row>
    <row r="23" spans="1:23">
      <c r="A23" s="1" t="s">
        <v>106</v>
      </c>
      <c r="B23" s="1" t="s">
        <v>24</v>
      </c>
      <c r="C23" s="1" t="s">
        <v>25</v>
      </c>
      <c r="D23" s="1" t="s">
        <v>286</v>
      </c>
      <c r="E23" s="1" t="s">
        <v>107</v>
      </c>
      <c r="G23" s="1" t="s">
        <v>51</v>
      </c>
      <c r="H23" s="1" t="s">
        <v>108</v>
      </c>
      <c r="L23" s="2">
        <v>0.35432715517241298</v>
      </c>
      <c r="M23" s="2">
        <v>2.12233386525362E-2</v>
      </c>
      <c r="N23" s="1">
        <f t="shared" si="1"/>
        <v>2.8222505258266399</v>
      </c>
      <c r="O23" s="2">
        <v>0.147036404591676</v>
      </c>
      <c r="P23" s="2">
        <v>6.4999999999999899E-4</v>
      </c>
      <c r="Q23" s="2">
        <v>-9.2268469128683098E-2</v>
      </c>
      <c r="R23" s="2">
        <v>2.3999999999999998E-3</v>
      </c>
      <c r="S23" s="2">
        <v>9.0000000000000095E-4</v>
      </c>
      <c r="T23" s="2">
        <v>1.03231223964494</v>
      </c>
      <c r="U23" s="1" t="s">
        <v>95</v>
      </c>
      <c r="V23" s="1" t="s">
        <v>96</v>
      </c>
      <c r="W23" s="1" t="s">
        <v>32</v>
      </c>
    </row>
    <row r="24" spans="1:23">
      <c r="A24" s="1" t="s">
        <v>109</v>
      </c>
      <c r="B24" s="1" t="s">
        <v>24</v>
      </c>
      <c r="C24" s="1" t="s">
        <v>25</v>
      </c>
      <c r="D24" s="1" t="s">
        <v>286</v>
      </c>
      <c r="E24" s="1" t="s">
        <v>110</v>
      </c>
      <c r="G24" s="1" t="s">
        <v>51</v>
      </c>
      <c r="H24" s="1" t="s">
        <v>111</v>
      </c>
      <c r="L24" s="2">
        <v>0.82036274509803897</v>
      </c>
      <c r="M24" s="2">
        <v>0.216478872895743</v>
      </c>
      <c r="N24" s="1">
        <f t="shared" si="1"/>
        <v>1.2189729555313888</v>
      </c>
      <c r="O24" s="2">
        <v>1.4357394113414199</v>
      </c>
      <c r="P24" s="2">
        <v>5.5000000000000003E-4</v>
      </c>
      <c r="Q24" s="2">
        <v>-0.72799405926532301</v>
      </c>
      <c r="R24" s="2">
        <v>1.7499999999999901E-3</v>
      </c>
      <c r="S24" s="2">
        <v>7.0000000000000097E-4</v>
      </c>
      <c r="T24" s="2">
        <v>1.67272172162767</v>
      </c>
      <c r="U24" s="1" t="s">
        <v>95</v>
      </c>
      <c r="V24" s="1" t="s">
        <v>112</v>
      </c>
      <c r="W24" s="1" t="s">
        <v>32</v>
      </c>
    </row>
    <row r="25" spans="1:23">
      <c r="A25" s="1" t="s">
        <v>113</v>
      </c>
      <c r="B25" s="1" t="s">
        <v>114</v>
      </c>
      <c r="C25" s="1" t="s">
        <v>25</v>
      </c>
      <c r="D25" s="1" t="s">
        <v>286</v>
      </c>
      <c r="E25" s="1" t="s">
        <v>115</v>
      </c>
      <c r="G25" s="1" t="s">
        <v>116</v>
      </c>
      <c r="H25" s="1" t="s">
        <v>117</v>
      </c>
      <c r="L25" s="2">
        <v>1.1721141509433901</v>
      </c>
      <c r="M25" s="2">
        <v>0.10839910914397501</v>
      </c>
      <c r="N25" s="1">
        <f t="shared" si="1"/>
        <v>0.85315922446217207</v>
      </c>
      <c r="O25" s="2">
        <v>0.86770193188711597</v>
      </c>
      <c r="P25" s="2">
        <v>3.4999999999999902E-4</v>
      </c>
      <c r="Q25" s="2">
        <v>-0.48191286262195898</v>
      </c>
      <c r="R25" s="2">
        <v>1.7499999999999901E-3</v>
      </c>
      <c r="S25" s="2">
        <v>5.5000000000000003E-4</v>
      </c>
      <c r="T25" s="2">
        <v>1.98356551410625</v>
      </c>
      <c r="U25" s="1" t="s">
        <v>95</v>
      </c>
      <c r="V25" s="1" t="s">
        <v>112</v>
      </c>
      <c r="W25" s="1" t="s">
        <v>32</v>
      </c>
    </row>
    <row r="26" spans="1:23">
      <c r="A26" s="1" t="s">
        <v>118</v>
      </c>
      <c r="B26" s="1" t="s">
        <v>24</v>
      </c>
      <c r="C26" s="1" t="s">
        <v>25</v>
      </c>
      <c r="D26" s="1" t="s">
        <v>286</v>
      </c>
      <c r="E26" s="1" t="s">
        <v>119</v>
      </c>
      <c r="G26" s="1" t="s">
        <v>51</v>
      </c>
      <c r="H26" s="1" t="s">
        <v>120</v>
      </c>
      <c r="L26" s="2">
        <v>1.2387978070175401</v>
      </c>
      <c r="M26" s="2">
        <v>0.248961760434941</v>
      </c>
      <c r="N26" s="1">
        <f t="shared" si="1"/>
        <v>0.8072342349455266</v>
      </c>
      <c r="O26" s="2">
        <v>2.3322064642289799</v>
      </c>
      <c r="P26" s="2">
        <v>3.4999999999999902E-4</v>
      </c>
      <c r="Q26" s="2">
        <v>-1.31567636416614</v>
      </c>
      <c r="R26" s="2">
        <v>1.8500000000000001E-3</v>
      </c>
      <c r="S26" s="2">
        <v>6.9999999999999902E-4</v>
      </c>
      <c r="T26" s="2">
        <v>2.8918413487752099</v>
      </c>
      <c r="U26" s="1" t="s">
        <v>95</v>
      </c>
      <c r="V26" s="1" t="s">
        <v>112</v>
      </c>
      <c r="W26" s="1" t="s">
        <v>32</v>
      </c>
    </row>
    <row r="27" spans="1:23">
      <c r="A27" s="1" t="s">
        <v>121</v>
      </c>
      <c r="B27" s="1" t="s">
        <v>24</v>
      </c>
      <c r="C27" s="1" t="s">
        <v>25</v>
      </c>
      <c r="D27" s="1" t="s">
        <v>286</v>
      </c>
      <c r="E27" s="1" t="s">
        <v>122</v>
      </c>
      <c r="G27" s="1" t="s">
        <v>51</v>
      </c>
      <c r="H27" s="1" t="s">
        <v>123</v>
      </c>
      <c r="L27" s="2">
        <v>0.72691836734693804</v>
      </c>
      <c r="M27" s="2">
        <v>5.5095680779947601E-2</v>
      </c>
      <c r="N27" s="1">
        <f t="shared" si="1"/>
        <v>1.375670288329264</v>
      </c>
      <c r="O27" s="2">
        <v>1.5107293575176199</v>
      </c>
      <c r="P27" s="2">
        <v>3.9999999999999899E-4</v>
      </c>
      <c r="Q27" s="2">
        <v>-0.79263272343496705</v>
      </c>
      <c r="R27" s="2">
        <v>1.8500000000000001E-3</v>
      </c>
      <c r="S27" s="2">
        <v>6.5000000000000095E-4</v>
      </c>
      <c r="T27" s="2">
        <v>1.8170487474138399</v>
      </c>
      <c r="U27" s="1" t="s">
        <v>95</v>
      </c>
      <c r="V27" s="1" t="s">
        <v>112</v>
      </c>
      <c r="W27" s="1" t="s">
        <v>32</v>
      </c>
    </row>
    <row r="28" spans="1:23">
      <c r="A28" s="1" t="s">
        <v>124</v>
      </c>
      <c r="B28" s="1" t="s">
        <v>24</v>
      </c>
      <c r="C28" s="1" t="s">
        <v>25</v>
      </c>
      <c r="D28" s="1" t="s">
        <v>286</v>
      </c>
      <c r="E28" s="1" t="s">
        <v>125</v>
      </c>
      <c r="G28" s="1" t="s">
        <v>51</v>
      </c>
      <c r="H28" s="1" t="s">
        <v>126</v>
      </c>
      <c r="L28" s="2">
        <v>0.27844868421052599</v>
      </c>
      <c r="M28" s="2">
        <v>0.31845751246431098</v>
      </c>
      <c r="N28" s="1">
        <f t="shared" si="1"/>
        <v>3.5913260026178917</v>
      </c>
      <c r="O28" s="2">
        <v>0.41898849943479899</v>
      </c>
      <c r="P28" s="2">
        <v>9.4999999999999902E-4</v>
      </c>
      <c r="Q28" s="2">
        <v>-0.26743259880755099</v>
      </c>
      <c r="R28" s="2">
        <v>3.8E-3</v>
      </c>
      <c r="S28" s="2">
        <v>1.3500000000000001E-3</v>
      </c>
      <c r="T28" s="2">
        <v>1.0552496428225699</v>
      </c>
      <c r="U28" s="1" t="s">
        <v>95</v>
      </c>
      <c r="V28" s="1" t="s">
        <v>112</v>
      </c>
      <c r="W28" s="1" t="s">
        <v>32</v>
      </c>
    </row>
    <row r="29" spans="1:23">
      <c r="A29" s="1" t="s">
        <v>127</v>
      </c>
      <c r="B29" s="1" t="s">
        <v>128</v>
      </c>
      <c r="C29" s="1" t="s">
        <v>25</v>
      </c>
      <c r="D29" s="1" t="s">
        <v>286</v>
      </c>
      <c r="E29" s="1" t="s">
        <v>129</v>
      </c>
      <c r="G29" s="1" t="s">
        <v>51</v>
      </c>
      <c r="H29" s="1" t="s">
        <v>130</v>
      </c>
      <c r="L29" s="2">
        <v>0.19777600000000001</v>
      </c>
      <c r="M29" s="2">
        <v>2.82940581708911E-2</v>
      </c>
      <c r="N29" s="1">
        <f t="shared" si="1"/>
        <v>5.0562252244963997</v>
      </c>
      <c r="O29" s="2">
        <v>1.2266080095507499</v>
      </c>
      <c r="P29" s="2">
        <v>4.4999999999999999E-4</v>
      </c>
      <c r="Q29" s="2">
        <v>-0.89604051778738503</v>
      </c>
      <c r="R29" s="2">
        <v>1.9499999999999999E-3</v>
      </c>
      <c r="S29" s="2">
        <v>6.0000000000000103E-4</v>
      </c>
      <c r="T29" s="2">
        <v>1.6715530398954901</v>
      </c>
      <c r="U29" s="1" t="s">
        <v>95</v>
      </c>
      <c r="V29" s="1" t="s">
        <v>112</v>
      </c>
      <c r="W29" s="1" t="s">
        <v>32</v>
      </c>
    </row>
    <row r="30" spans="1:23">
      <c r="A30" s="1" t="s">
        <v>131</v>
      </c>
      <c r="B30" s="1" t="s">
        <v>24</v>
      </c>
      <c r="C30" s="1" t="s">
        <v>25</v>
      </c>
      <c r="D30" s="1" t="s">
        <v>287</v>
      </c>
      <c r="E30" s="1" t="s">
        <v>132</v>
      </c>
      <c r="G30" s="1" t="s">
        <v>51</v>
      </c>
      <c r="H30" s="1" t="s">
        <v>133</v>
      </c>
      <c r="L30" s="2">
        <v>1.05448170731707</v>
      </c>
      <c r="M30" s="2">
        <v>4.6055289177754699E-2</v>
      </c>
      <c r="N30" s="1">
        <f t="shared" si="1"/>
        <v>0.94833318877035011</v>
      </c>
      <c r="O30" s="2">
        <v>2.5701562383537402</v>
      </c>
      <c r="P30" s="2">
        <v>4.4999999999999999E-4</v>
      </c>
      <c r="Q30" s="2">
        <v>-1.3921944311898999</v>
      </c>
      <c r="R30" s="2">
        <v>2.0500000000000002E-3</v>
      </c>
      <c r="S30" s="2">
        <v>8.0000000000000004E-4</v>
      </c>
      <c r="T30" s="2">
        <v>1.9642344775679399</v>
      </c>
      <c r="U30" s="1" t="s">
        <v>134</v>
      </c>
      <c r="V30" s="1" t="s">
        <v>135</v>
      </c>
      <c r="W30" s="1" t="s">
        <v>32</v>
      </c>
    </row>
    <row r="31" spans="1:23">
      <c r="A31" s="1" t="s">
        <v>136</v>
      </c>
      <c r="B31" s="1" t="s">
        <v>24</v>
      </c>
      <c r="C31" s="1" t="s">
        <v>25</v>
      </c>
      <c r="D31" s="1" t="s">
        <v>287</v>
      </c>
      <c r="E31" s="1" t="s">
        <v>137</v>
      </c>
      <c r="G31" s="1" t="s">
        <v>51</v>
      </c>
      <c r="H31" s="1" t="s">
        <v>138</v>
      </c>
      <c r="L31" s="2">
        <v>0.55313159999999995</v>
      </c>
      <c r="M31" s="2">
        <v>5.0846450353474702E-2</v>
      </c>
      <c r="N31" s="1">
        <f t="shared" si="1"/>
        <v>1.8078880324320652</v>
      </c>
      <c r="O31" s="2">
        <v>1.5992695811631401</v>
      </c>
      <c r="P31" s="2">
        <v>5.5000000000000003E-4</v>
      </c>
      <c r="Q31" s="2">
        <v>-0.68429638584031804</v>
      </c>
      <c r="R31" s="2">
        <v>2.64999999999999E-3</v>
      </c>
      <c r="S31" s="2">
        <v>8.0000000000000004E-4</v>
      </c>
      <c r="T31" s="2">
        <v>1.3791458641459999</v>
      </c>
      <c r="U31" s="1" t="s">
        <v>134</v>
      </c>
      <c r="V31" s="1" t="s">
        <v>135</v>
      </c>
      <c r="W31" s="1" t="s">
        <v>32</v>
      </c>
    </row>
    <row r="32" spans="1:23">
      <c r="A32" s="1" t="s">
        <v>139</v>
      </c>
      <c r="B32" s="1" t="s">
        <v>24</v>
      </c>
      <c r="C32" s="1" t="s">
        <v>25</v>
      </c>
      <c r="D32" s="1" t="s">
        <v>287</v>
      </c>
      <c r="E32" s="1" t="s">
        <v>140</v>
      </c>
      <c r="G32" s="1" t="s">
        <v>51</v>
      </c>
      <c r="H32" s="1" t="s">
        <v>141</v>
      </c>
      <c r="L32" s="2">
        <v>0.64933509615384599</v>
      </c>
      <c r="M32" s="2">
        <v>4.8606629297258799E-2</v>
      </c>
      <c r="N32" s="1">
        <f t="shared" si="1"/>
        <v>1.5400368868450498</v>
      </c>
      <c r="O32" s="2">
        <v>0.52933377956781402</v>
      </c>
      <c r="P32" s="2">
        <v>8.4999999999999995E-4</v>
      </c>
      <c r="Q32" s="2">
        <v>-0.29480294623721098</v>
      </c>
      <c r="R32" s="2">
        <v>2.8500000000000001E-3</v>
      </c>
      <c r="S32" s="2">
        <v>1.0499999999999999E-3</v>
      </c>
      <c r="T32" s="2">
        <v>1.0344668388164799</v>
      </c>
      <c r="U32" s="1" t="s">
        <v>134</v>
      </c>
      <c r="V32" s="1" t="s">
        <v>135</v>
      </c>
      <c r="W32" s="1" t="s">
        <v>32</v>
      </c>
    </row>
    <row r="33" spans="1:23">
      <c r="A33" s="1" t="s">
        <v>142</v>
      </c>
      <c r="B33" s="1" t="s">
        <v>128</v>
      </c>
      <c r="C33" s="1" t="s">
        <v>25</v>
      </c>
      <c r="D33" s="1" t="s">
        <v>287</v>
      </c>
      <c r="E33" s="1" t="s">
        <v>143</v>
      </c>
      <c r="G33" s="1" t="s">
        <v>51</v>
      </c>
      <c r="H33" s="1" t="s">
        <v>144</v>
      </c>
      <c r="L33" s="2">
        <v>0.40863012422360201</v>
      </c>
      <c r="M33" s="2">
        <v>0.159820625554038</v>
      </c>
      <c r="N33" s="1">
        <f t="shared" si="1"/>
        <v>2.44720088099232</v>
      </c>
      <c r="O33" s="2">
        <v>1.7644060912202699</v>
      </c>
      <c r="P33" s="2">
        <v>8.4999999999999995E-4</v>
      </c>
      <c r="Q33" s="2">
        <v>-0.96664293766682596</v>
      </c>
      <c r="R33" s="2">
        <v>2.3499999999999901E-3</v>
      </c>
      <c r="S33" s="2">
        <v>1.1999999999999899E-3</v>
      </c>
      <c r="T33" s="2">
        <v>1.19163909833787</v>
      </c>
      <c r="U33" s="1" t="s">
        <v>134</v>
      </c>
      <c r="V33" s="1" t="s">
        <v>135</v>
      </c>
      <c r="W33" s="1" t="s">
        <v>32</v>
      </c>
    </row>
    <row r="34" spans="1:23">
      <c r="A34" s="1" t="s">
        <v>145</v>
      </c>
      <c r="B34" s="1" t="s">
        <v>24</v>
      </c>
      <c r="C34" s="1" t="s">
        <v>25</v>
      </c>
      <c r="D34" s="1" t="s">
        <v>287</v>
      </c>
      <c r="E34" s="1" t="s">
        <v>146</v>
      </c>
      <c r="G34" s="1" t="s">
        <v>51</v>
      </c>
      <c r="H34" s="1" t="s">
        <v>147</v>
      </c>
      <c r="L34" s="2">
        <v>0.57217954545454497</v>
      </c>
      <c r="M34" s="2">
        <v>0.136222322716262</v>
      </c>
      <c r="N34" s="1">
        <f t="shared" si="1"/>
        <v>1.7477031605622853</v>
      </c>
      <c r="O34" s="2">
        <v>1.60295346277077</v>
      </c>
      <c r="P34" s="2">
        <v>9.5000000000000097E-4</v>
      </c>
      <c r="Q34" s="2">
        <v>-0.816182054368915</v>
      </c>
      <c r="R34" s="2">
        <v>2.3499999999999901E-3</v>
      </c>
      <c r="S34" s="2">
        <v>1.15E-3</v>
      </c>
      <c r="T34" s="2">
        <v>0.95421596388449503</v>
      </c>
      <c r="U34" s="1" t="s">
        <v>134</v>
      </c>
      <c r="V34" s="1" t="s">
        <v>135</v>
      </c>
      <c r="W34" s="1" t="s">
        <v>32</v>
      </c>
    </row>
    <row r="35" spans="1:23">
      <c r="A35" s="1" t="s">
        <v>148</v>
      </c>
      <c r="B35" s="1" t="s">
        <v>24</v>
      </c>
      <c r="C35" s="1" t="s">
        <v>25</v>
      </c>
      <c r="D35" s="1" t="s">
        <v>287</v>
      </c>
      <c r="E35" s="1" t="s">
        <v>149</v>
      </c>
      <c r="G35" s="1" t="s">
        <v>51</v>
      </c>
      <c r="H35" s="1" t="s">
        <v>150</v>
      </c>
      <c r="L35" s="2">
        <v>0.86001000000000005</v>
      </c>
      <c r="M35" s="2">
        <v>5.2583992788861299E-2</v>
      </c>
      <c r="N35" s="1">
        <f t="shared" si="1"/>
        <v>1.1627771770095696</v>
      </c>
      <c r="O35" s="2">
        <v>4.0541425415386003</v>
      </c>
      <c r="P35" s="2">
        <v>8.0000000000000004E-4</v>
      </c>
      <c r="Q35" s="2">
        <v>-2.3347529548204098</v>
      </c>
      <c r="R35" s="2">
        <v>2.8999999999999998E-3</v>
      </c>
      <c r="S35" s="2">
        <v>8.99999999999999E-4</v>
      </c>
      <c r="T35" s="2">
        <v>1.91239678533288</v>
      </c>
      <c r="U35" s="1" t="s">
        <v>134</v>
      </c>
      <c r="V35" s="1" t="s">
        <v>151</v>
      </c>
      <c r="W35" s="1" t="s">
        <v>32</v>
      </c>
    </row>
    <row r="36" spans="1:23">
      <c r="A36" s="1" t="s">
        <v>152</v>
      </c>
      <c r="B36" s="1" t="s">
        <v>24</v>
      </c>
      <c r="C36" s="1" t="s">
        <v>25</v>
      </c>
      <c r="D36" s="1" t="s">
        <v>287</v>
      </c>
      <c r="E36" s="1" t="s">
        <v>153</v>
      </c>
      <c r="G36" s="1" t="s">
        <v>51</v>
      </c>
      <c r="H36" s="1" t="s">
        <v>154</v>
      </c>
      <c r="L36" s="2">
        <v>1.3027607142857101</v>
      </c>
      <c r="M36" s="2">
        <v>0.19737486659463599</v>
      </c>
      <c r="N36" s="1">
        <f t="shared" si="1"/>
        <v>0.76760067219887684</v>
      </c>
      <c r="O36" s="2">
        <v>0.531329688681903</v>
      </c>
      <c r="P36" s="2">
        <v>8.4999999999999995E-4</v>
      </c>
      <c r="Q36" s="2">
        <v>-0.20546251416429601</v>
      </c>
      <c r="R36" s="2">
        <v>2.2000000000000001E-3</v>
      </c>
      <c r="S36" s="2">
        <v>5.0000000000000001E-4</v>
      </c>
      <c r="T36" s="2">
        <v>1.0060196086709099</v>
      </c>
      <c r="U36" s="1" t="s">
        <v>134</v>
      </c>
      <c r="V36" s="1" t="s">
        <v>151</v>
      </c>
      <c r="W36" s="1" t="s">
        <v>32</v>
      </c>
    </row>
    <row r="37" spans="1:23">
      <c r="A37" s="1" t="s">
        <v>155</v>
      </c>
      <c r="B37" s="1" t="s">
        <v>24</v>
      </c>
      <c r="C37" s="1" t="s">
        <v>25</v>
      </c>
      <c r="D37" s="1" t="s">
        <v>287</v>
      </c>
      <c r="E37" s="1" t="s">
        <v>156</v>
      </c>
      <c r="G37" s="1" t="s">
        <v>51</v>
      </c>
      <c r="H37" s="1" t="s">
        <v>157</v>
      </c>
      <c r="L37" s="2">
        <v>2.0057718750000002</v>
      </c>
      <c r="M37" s="2">
        <v>2.1269153641174698</v>
      </c>
      <c r="N37" s="1">
        <f t="shared" si="1"/>
        <v>0.49856118358424978</v>
      </c>
      <c r="O37" s="2">
        <v>0.29545850812501401</v>
      </c>
      <c r="P37" s="2">
        <v>5.5000000000000003E-4</v>
      </c>
      <c r="Q37" s="2">
        <v>-0.119687298003907</v>
      </c>
      <c r="R37" s="2">
        <v>2.0499999999999902E-3</v>
      </c>
      <c r="S37" s="2">
        <v>5.0000000000000001E-4</v>
      </c>
      <c r="T37" s="2">
        <v>0.91330158769051495</v>
      </c>
      <c r="U37" s="1" t="s">
        <v>134</v>
      </c>
      <c r="V37" s="1" t="s">
        <v>151</v>
      </c>
      <c r="W37" s="1" t="s">
        <v>32</v>
      </c>
    </row>
    <row r="38" spans="1:23">
      <c r="A38" s="1" t="s">
        <v>158</v>
      </c>
      <c r="B38" s="1" t="s">
        <v>24</v>
      </c>
      <c r="C38" s="1" t="s">
        <v>25</v>
      </c>
      <c r="D38" s="1" t="s">
        <v>287</v>
      </c>
      <c r="E38" s="1" t="s">
        <v>159</v>
      </c>
      <c r="G38" s="1" t="s">
        <v>51</v>
      </c>
      <c r="H38" s="1" t="s">
        <v>160</v>
      </c>
      <c r="L38" s="2">
        <v>1.0196647540983601</v>
      </c>
      <c r="M38" s="2">
        <v>9.0026650843080105E-2</v>
      </c>
      <c r="N38" s="1">
        <f t="shared" si="1"/>
        <v>0.98071449069969208</v>
      </c>
      <c r="O38" s="2">
        <v>0.45541046429326099</v>
      </c>
      <c r="P38" s="2">
        <v>5.0000000000000001E-4</v>
      </c>
      <c r="Q38" s="2">
        <v>-0.164815322153328</v>
      </c>
      <c r="R38" s="2">
        <v>2.15E-3</v>
      </c>
      <c r="S38" s="2">
        <v>5.5000000000000003E-4</v>
      </c>
      <c r="T38" s="2">
        <v>0.981114447366781</v>
      </c>
      <c r="U38" s="1" t="s">
        <v>134</v>
      </c>
      <c r="V38" s="1" t="s">
        <v>151</v>
      </c>
      <c r="W38" s="1" t="s">
        <v>32</v>
      </c>
    </row>
    <row r="39" spans="1:23">
      <c r="A39" s="1" t="s">
        <v>161</v>
      </c>
      <c r="B39" s="1" t="s">
        <v>24</v>
      </c>
      <c r="C39" s="1" t="s">
        <v>25</v>
      </c>
      <c r="D39" s="1" t="s">
        <v>287</v>
      </c>
      <c r="E39" s="1" t="s">
        <v>162</v>
      </c>
      <c r="G39" s="1" t="s">
        <v>51</v>
      </c>
      <c r="H39" s="1" t="s">
        <v>163</v>
      </c>
      <c r="L39" s="2">
        <v>0.68533555555555503</v>
      </c>
      <c r="M39" s="2">
        <v>3.9232817211068201E-2</v>
      </c>
      <c r="N39" s="1">
        <f t="shared" si="1"/>
        <v>1.4591392375511114</v>
      </c>
      <c r="O39" s="2">
        <v>0.98472785765640602</v>
      </c>
      <c r="P39" s="2">
        <v>3.9999999999999899E-4</v>
      </c>
      <c r="Q39" s="2">
        <v>-0.29821765850453302</v>
      </c>
      <c r="R39" s="2">
        <v>2.4499999999999999E-3</v>
      </c>
      <c r="S39" s="2">
        <v>6.5000000000000095E-4</v>
      </c>
      <c r="T39" s="2">
        <v>1.35164392359907</v>
      </c>
      <c r="U39" s="1" t="s">
        <v>134</v>
      </c>
      <c r="V39" s="1" t="s">
        <v>151</v>
      </c>
      <c r="W39" s="1" t="s">
        <v>32</v>
      </c>
    </row>
    <row r="40" spans="1:23">
      <c r="A40" s="1" t="s">
        <v>164</v>
      </c>
      <c r="B40" s="1" t="s">
        <v>24</v>
      </c>
      <c r="C40" s="1" t="s">
        <v>165</v>
      </c>
      <c r="D40" s="1" t="s">
        <v>290</v>
      </c>
      <c r="E40" s="1" t="s">
        <v>166</v>
      </c>
      <c r="F40" s="1" t="s">
        <v>167</v>
      </c>
      <c r="G40" s="1" t="s">
        <v>116</v>
      </c>
      <c r="U40" s="1" t="s">
        <v>95</v>
      </c>
      <c r="V40" s="1" t="s">
        <v>168</v>
      </c>
      <c r="W40" s="1" t="s">
        <v>32</v>
      </c>
    </row>
    <row r="41" spans="1:23">
      <c r="A41" s="1" t="s">
        <v>169</v>
      </c>
      <c r="B41" s="1" t="s">
        <v>24</v>
      </c>
      <c r="C41" s="1" t="s">
        <v>165</v>
      </c>
      <c r="D41" s="1" t="s">
        <v>290</v>
      </c>
      <c r="E41" s="1" t="s">
        <v>170</v>
      </c>
      <c r="G41" s="1" t="s">
        <v>51</v>
      </c>
      <c r="H41" s="1" t="s">
        <v>171</v>
      </c>
      <c r="I41" s="1">
        <v>1</v>
      </c>
      <c r="J41" s="1">
        <v>0</v>
      </c>
      <c r="K41" s="1">
        <v>1.65</v>
      </c>
      <c r="L41" s="2">
        <v>0.67704999999999904</v>
      </c>
      <c r="M41" s="2">
        <v>0.11016723650886399</v>
      </c>
      <c r="N41" s="1">
        <f>1/L41</f>
        <v>1.476995790561999</v>
      </c>
      <c r="O41" s="2">
        <v>1.44254602857998</v>
      </c>
      <c r="P41" s="2">
        <v>9.0000000000000095E-4</v>
      </c>
      <c r="Q41" s="2">
        <v>-1.32653147705368</v>
      </c>
      <c r="R41" s="2">
        <v>1.9499999999999999E-3</v>
      </c>
      <c r="S41" s="2">
        <v>1.15E-3</v>
      </c>
      <c r="T41" s="2">
        <v>0.70751581825847298</v>
      </c>
      <c r="U41" s="1" t="s">
        <v>95</v>
      </c>
      <c r="V41" s="1" t="s">
        <v>168</v>
      </c>
      <c r="W41" s="1" t="s">
        <v>32</v>
      </c>
    </row>
    <row r="42" spans="1:23">
      <c r="A42" s="1" t="s">
        <v>172</v>
      </c>
      <c r="B42" s="1" t="s">
        <v>24</v>
      </c>
      <c r="C42" s="1" t="s">
        <v>165</v>
      </c>
      <c r="D42" s="1" t="s">
        <v>290</v>
      </c>
      <c r="E42" s="1" t="s">
        <v>173</v>
      </c>
      <c r="G42" s="1" t="s">
        <v>51</v>
      </c>
      <c r="H42" s="1" t="s">
        <v>94</v>
      </c>
      <c r="N42" s="1">
        <v>0</v>
      </c>
      <c r="U42" s="1" t="s">
        <v>134</v>
      </c>
      <c r="V42" s="1" t="s">
        <v>174</v>
      </c>
      <c r="W42" s="1" t="s">
        <v>32</v>
      </c>
    </row>
    <row r="43" spans="1:23">
      <c r="A43" s="1" t="s">
        <v>175</v>
      </c>
      <c r="B43" s="1" t="s">
        <v>24</v>
      </c>
      <c r="C43" s="1" t="s">
        <v>165</v>
      </c>
      <c r="D43" s="1" t="s">
        <v>290</v>
      </c>
      <c r="E43" s="1" t="s">
        <v>176</v>
      </c>
      <c r="G43" s="1" t="s">
        <v>51</v>
      </c>
      <c r="H43" s="1" t="s">
        <v>177</v>
      </c>
      <c r="I43" s="1">
        <v>2</v>
      </c>
      <c r="J43" s="1">
        <v>0</v>
      </c>
      <c r="K43" s="1">
        <v>1.65</v>
      </c>
      <c r="L43" s="2">
        <v>0.35137499999999999</v>
      </c>
      <c r="M43" s="2">
        <v>7.6301862144161695E-2</v>
      </c>
      <c r="N43" s="1">
        <f t="shared" ref="N43:N46" si="2">1/L43</f>
        <v>2.8459622909996445</v>
      </c>
      <c r="O43" s="2">
        <v>1.2489742884850801</v>
      </c>
      <c r="P43" s="2">
        <v>1.1000000000000001E-3</v>
      </c>
      <c r="Q43" s="2">
        <v>-0.74012082307178595</v>
      </c>
      <c r="R43" s="2">
        <v>3.5500000000000002E-3</v>
      </c>
      <c r="S43" s="2">
        <v>1.4999999999999901E-3</v>
      </c>
      <c r="T43" s="2">
        <v>1.51929406225106</v>
      </c>
      <c r="U43" s="1" t="s">
        <v>134</v>
      </c>
      <c r="V43" s="1" t="s">
        <v>174</v>
      </c>
      <c r="W43" s="1" t="s">
        <v>32</v>
      </c>
    </row>
    <row r="44" spans="1:23">
      <c r="A44" s="1" t="s">
        <v>178</v>
      </c>
      <c r="B44" s="1" t="s">
        <v>24</v>
      </c>
      <c r="C44" s="1" t="s">
        <v>165</v>
      </c>
      <c r="D44" s="1" t="s">
        <v>290</v>
      </c>
      <c r="E44" s="1" t="s">
        <v>179</v>
      </c>
      <c r="G44" s="1" t="s">
        <v>51</v>
      </c>
      <c r="H44" s="1" t="s">
        <v>177</v>
      </c>
      <c r="L44" s="2">
        <v>0.32176250000000001</v>
      </c>
      <c r="M44" s="2">
        <v>1.06405963961926E-2</v>
      </c>
      <c r="N44" s="1">
        <f t="shared" si="2"/>
        <v>3.1078823666524222</v>
      </c>
      <c r="O44" s="2">
        <v>4.7693805906635696</v>
      </c>
      <c r="P44" s="2">
        <v>7.4999999999999796E-4</v>
      </c>
      <c r="Q44" s="2">
        <v>-1.9710783463602199</v>
      </c>
      <c r="R44" s="2">
        <v>3.0999999999999999E-3</v>
      </c>
      <c r="S44" s="2">
        <v>1.2999999999999999E-3</v>
      </c>
      <c r="T44" s="2">
        <v>1.81107573677676</v>
      </c>
      <c r="U44" s="1" t="s">
        <v>134</v>
      </c>
      <c r="V44" s="1" t="s">
        <v>174</v>
      </c>
      <c r="W44" s="1" t="s">
        <v>32</v>
      </c>
    </row>
    <row r="45" spans="1:23">
      <c r="A45" s="1" t="s">
        <v>180</v>
      </c>
      <c r="B45" s="1" t="s">
        <v>24</v>
      </c>
      <c r="C45" s="1" t="s">
        <v>25</v>
      </c>
      <c r="D45" s="1" t="s">
        <v>288</v>
      </c>
      <c r="E45" s="1" t="s">
        <v>181</v>
      </c>
      <c r="G45" s="1" t="s">
        <v>28</v>
      </c>
      <c r="H45" s="1" t="s">
        <v>182</v>
      </c>
      <c r="L45" s="2">
        <v>0.51754210526315703</v>
      </c>
      <c r="M45" s="2">
        <v>0.28683811681708299</v>
      </c>
      <c r="N45" s="1">
        <f t="shared" si="2"/>
        <v>1.9322099396947141</v>
      </c>
      <c r="O45" s="2">
        <v>0.25152238242352498</v>
      </c>
      <c r="P45" s="2">
        <v>3.4999999999999902E-4</v>
      </c>
      <c r="Q45" s="2">
        <v>-0.190856115770381</v>
      </c>
      <c r="R45" s="2">
        <v>1.0499999999999999E-3</v>
      </c>
      <c r="S45" s="2">
        <v>3.9999999999999899E-4</v>
      </c>
      <c r="T45" s="2">
        <v>1.3257371771811199</v>
      </c>
      <c r="U45" s="1" t="s">
        <v>183</v>
      </c>
      <c r="V45" s="1" t="s">
        <v>184</v>
      </c>
      <c r="W45" s="1" t="s">
        <v>32</v>
      </c>
    </row>
    <row r="46" spans="1:23">
      <c r="A46" s="1" t="s">
        <v>185</v>
      </c>
      <c r="B46" s="1" t="s">
        <v>24</v>
      </c>
      <c r="C46" s="1" t="s">
        <v>25</v>
      </c>
      <c r="D46" s="1" t="s">
        <v>288</v>
      </c>
      <c r="E46" s="1" t="s">
        <v>186</v>
      </c>
      <c r="G46" s="1" t="s">
        <v>28</v>
      </c>
      <c r="H46" s="1" t="s">
        <v>187</v>
      </c>
      <c r="L46" s="2">
        <v>0.36212451923076899</v>
      </c>
      <c r="M46" s="2">
        <v>6.5763164951985295E-2</v>
      </c>
      <c r="N46" s="1">
        <f t="shared" si="2"/>
        <v>2.7614810566382437</v>
      </c>
      <c r="O46" s="2">
        <v>2.39054618036119</v>
      </c>
      <c r="P46" s="2">
        <v>2.99999999999999E-4</v>
      </c>
      <c r="Q46" s="2">
        <v>-1.70372413885379</v>
      </c>
      <c r="R46" s="2">
        <v>1.7499999999999901E-3</v>
      </c>
      <c r="S46" s="2">
        <v>5.5000000000000003E-4</v>
      </c>
      <c r="T46" s="2">
        <v>1.6870325743846699</v>
      </c>
      <c r="U46" s="1" t="s">
        <v>183</v>
      </c>
      <c r="V46" s="1" t="s">
        <v>184</v>
      </c>
      <c r="W46" s="1" t="s">
        <v>32</v>
      </c>
    </row>
    <row r="47" spans="1:23">
      <c r="A47" s="1" t="s">
        <v>188</v>
      </c>
      <c r="B47" s="1" t="s">
        <v>24</v>
      </c>
      <c r="C47" s="1" t="s">
        <v>25</v>
      </c>
      <c r="D47" s="1" t="s">
        <v>288</v>
      </c>
      <c r="E47" s="1" t="s">
        <v>189</v>
      </c>
      <c r="F47" s="1" t="s">
        <v>190</v>
      </c>
      <c r="G47" s="1" t="s">
        <v>39</v>
      </c>
      <c r="H47" s="1" t="s">
        <v>191</v>
      </c>
      <c r="N47" s="1">
        <v>0</v>
      </c>
      <c r="U47" s="1" t="s">
        <v>183</v>
      </c>
      <c r="V47" s="1" t="s">
        <v>184</v>
      </c>
      <c r="W47" s="1" t="s">
        <v>32</v>
      </c>
    </row>
    <row r="48" spans="1:23">
      <c r="A48" s="1" t="s">
        <v>192</v>
      </c>
      <c r="B48" s="1" t="s">
        <v>24</v>
      </c>
      <c r="C48" s="1" t="s">
        <v>25</v>
      </c>
      <c r="D48" s="1" t="s">
        <v>288</v>
      </c>
      <c r="E48" s="1" t="s">
        <v>193</v>
      </c>
      <c r="G48" s="1" t="s">
        <v>28</v>
      </c>
      <c r="H48" s="1" t="s">
        <v>194</v>
      </c>
      <c r="L48" s="2">
        <v>0.52650982905982902</v>
      </c>
      <c r="M48" s="2">
        <v>3.4440496686887097E-2</v>
      </c>
      <c r="N48" s="1">
        <f t="shared" ref="N48:N69" si="3">1/L48</f>
        <v>1.8992997752495266</v>
      </c>
      <c r="O48" s="2">
        <v>0.54321219365283602</v>
      </c>
      <c r="P48" s="2">
        <v>7.0000000000000097E-4</v>
      </c>
      <c r="Q48" s="2">
        <v>-0.33248918917249498</v>
      </c>
      <c r="R48" s="2">
        <v>1.79999999999999E-3</v>
      </c>
      <c r="S48" s="2">
        <v>7.4999999999999796E-4</v>
      </c>
      <c r="T48" s="2">
        <v>0.84639823091946398</v>
      </c>
      <c r="U48" s="1" t="s">
        <v>183</v>
      </c>
      <c r="V48" s="1" t="s">
        <v>195</v>
      </c>
      <c r="W48" s="1" t="s">
        <v>32</v>
      </c>
    </row>
    <row r="49" spans="1:23">
      <c r="A49" s="1" t="s">
        <v>196</v>
      </c>
      <c r="B49" s="1" t="s">
        <v>24</v>
      </c>
      <c r="C49" s="1" t="s">
        <v>25</v>
      </c>
      <c r="D49" s="1" t="s">
        <v>288</v>
      </c>
      <c r="E49" s="1" t="s">
        <v>197</v>
      </c>
      <c r="F49" s="1" t="s">
        <v>198</v>
      </c>
      <c r="G49" s="1" t="s">
        <v>28</v>
      </c>
      <c r="H49" s="1" t="s">
        <v>199</v>
      </c>
      <c r="I49" s="1"/>
      <c r="J49" s="1">
        <v>0</v>
      </c>
      <c r="K49" s="1">
        <v>30</v>
      </c>
      <c r="L49" s="2">
        <v>0.108703818181818</v>
      </c>
      <c r="M49" s="2">
        <v>2.96764682571054E-2</v>
      </c>
      <c r="N49" s="1">
        <f t="shared" si="3"/>
        <v>9.1993088810128096</v>
      </c>
      <c r="O49" s="2">
        <v>0.32199945770999</v>
      </c>
      <c r="P49" s="2">
        <v>2.5000000000000001E-4</v>
      </c>
      <c r="Q49" s="2">
        <v>-0.20931595009853801</v>
      </c>
      <c r="R49" s="2">
        <v>7.0000000000000097E-4</v>
      </c>
      <c r="S49" s="2">
        <v>3.4999999999999902E-4</v>
      </c>
      <c r="T49" s="2">
        <v>0.77109218233506205</v>
      </c>
      <c r="U49" s="1" t="s">
        <v>183</v>
      </c>
      <c r="V49" s="1" t="s">
        <v>195</v>
      </c>
      <c r="W49" s="1" t="s">
        <v>32</v>
      </c>
    </row>
    <row r="50" spans="1:23">
      <c r="A50" s="1" t="s">
        <v>200</v>
      </c>
      <c r="B50" s="1" t="s">
        <v>24</v>
      </c>
      <c r="C50" s="1" t="s">
        <v>25</v>
      </c>
      <c r="D50" s="1" t="s">
        <v>288</v>
      </c>
      <c r="E50" s="1" t="s">
        <v>201</v>
      </c>
      <c r="G50" s="1" t="s">
        <v>28</v>
      </c>
      <c r="H50" s="1" t="s">
        <v>202</v>
      </c>
      <c r="L50" s="2">
        <v>1.0160100000000001</v>
      </c>
      <c r="M50" s="2">
        <v>0.109948829409901</v>
      </c>
      <c r="N50" s="1">
        <f t="shared" si="3"/>
        <v>0.98424228107991052</v>
      </c>
      <c r="O50" s="2">
        <v>0.80958491960949497</v>
      </c>
      <c r="P50" s="2">
        <v>2.99999999999999E-4</v>
      </c>
      <c r="Q50" s="2">
        <v>-0.87631807606360201</v>
      </c>
      <c r="R50" s="2">
        <v>1.65E-3</v>
      </c>
      <c r="S50" s="2">
        <v>5.9999999999999897E-4</v>
      </c>
      <c r="T50" s="2">
        <v>2.0840141580334102</v>
      </c>
      <c r="U50" s="1" t="s">
        <v>183</v>
      </c>
      <c r="V50" s="1" t="s">
        <v>203</v>
      </c>
      <c r="W50" s="1" t="s">
        <v>32</v>
      </c>
    </row>
    <row r="51" spans="1:23">
      <c r="A51" s="1" t="s">
        <v>204</v>
      </c>
      <c r="B51" s="1" t="s">
        <v>24</v>
      </c>
      <c r="C51" s="1" t="s">
        <v>25</v>
      </c>
      <c r="D51" s="1" t="s">
        <v>288</v>
      </c>
      <c r="E51" s="1" t="s">
        <v>205</v>
      </c>
      <c r="G51" s="1" t="s">
        <v>28</v>
      </c>
      <c r="H51" s="1" t="s">
        <v>206</v>
      </c>
      <c r="I51" s="1">
        <v>1</v>
      </c>
      <c r="J51" s="1">
        <v>0</v>
      </c>
      <c r="K51" s="1">
        <v>10</v>
      </c>
      <c r="L51" s="2">
        <v>0.67263214285714201</v>
      </c>
      <c r="M51" s="2">
        <v>0.287085429262884</v>
      </c>
      <c r="N51" s="1">
        <f t="shared" si="3"/>
        <v>1.4866967191789204</v>
      </c>
      <c r="O51" s="2">
        <v>1.7264236814324001</v>
      </c>
      <c r="P51" s="2">
        <v>2.0000000000000001E-4</v>
      </c>
      <c r="Q51" s="2">
        <v>-2.4061407408309399</v>
      </c>
      <c r="R51" s="2">
        <v>5.9999999999999897E-4</v>
      </c>
      <c r="S51" s="2">
        <v>2.5000000000000001E-4</v>
      </c>
      <c r="T51" s="2">
        <v>0.81500978104311805</v>
      </c>
      <c r="U51" s="1" t="s">
        <v>183</v>
      </c>
      <c r="V51" s="1" t="s">
        <v>207</v>
      </c>
      <c r="W51" s="1" t="s">
        <v>32</v>
      </c>
    </row>
    <row r="52" spans="1:23">
      <c r="A52" s="1" t="s">
        <v>208</v>
      </c>
      <c r="B52" s="1" t="s">
        <v>24</v>
      </c>
      <c r="C52" s="1" t="s">
        <v>25</v>
      </c>
      <c r="D52" s="1" t="s">
        <v>288</v>
      </c>
      <c r="E52" s="1" t="s">
        <v>209</v>
      </c>
      <c r="G52" s="1" t="s">
        <v>28</v>
      </c>
      <c r="H52" s="1" t="s">
        <v>210</v>
      </c>
      <c r="L52" s="2">
        <v>0.48786780303030303</v>
      </c>
      <c r="M52" s="2">
        <v>0.156024669234196</v>
      </c>
      <c r="N52" s="1">
        <f t="shared" si="3"/>
        <v>2.0497355918727984</v>
      </c>
      <c r="O52" s="2">
        <v>1.0335494708851201</v>
      </c>
      <c r="P52" s="2">
        <v>4.4999999999999999E-4</v>
      </c>
      <c r="Q52" s="2">
        <v>-0.53156577192903198</v>
      </c>
      <c r="R52" s="2">
        <v>1.7499999999999901E-3</v>
      </c>
      <c r="S52" s="2">
        <v>5.5000000000000003E-4</v>
      </c>
      <c r="T52" s="2">
        <v>1.44864985427598</v>
      </c>
      <c r="U52" s="1" t="s">
        <v>183</v>
      </c>
      <c r="V52" s="1" t="s">
        <v>207</v>
      </c>
      <c r="W52" s="1" t="s">
        <v>32</v>
      </c>
    </row>
    <row r="53" spans="1:23">
      <c r="A53" s="1" t="s">
        <v>211</v>
      </c>
      <c r="B53" s="1" t="s">
        <v>24</v>
      </c>
      <c r="C53" s="1" t="s">
        <v>25</v>
      </c>
      <c r="D53" s="1" t="s">
        <v>288</v>
      </c>
      <c r="E53" s="1" t="s">
        <v>212</v>
      </c>
      <c r="G53" s="1" t="s">
        <v>28</v>
      </c>
      <c r="H53" s="1" t="s">
        <v>213</v>
      </c>
      <c r="L53" s="2">
        <v>0.24306472602739701</v>
      </c>
      <c r="M53" s="2">
        <v>2.7213879031703098E-2</v>
      </c>
      <c r="N53" s="1">
        <f t="shared" si="3"/>
        <v>4.1141304883839256</v>
      </c>
      <c r="O53" s="2">
        <v>0.45508003962503002</v>
      </c>
      <c r="P53" s="2">
        <v>3.4999999999999902E-4</v>
      </c>
      <c r="Q53" s="2">
        <v>-0.23891896114275199</v>
      </c>
      <c r="R53" s="2">
        <v>2.2000000000000001E-3</v>
      </c>
      <c r="S53" s="2">
        <v>5.5000000000000003E-4</v>
      </c>
      <c r="T53" s="2">
        <v>1.37843440591611</v>
      </c>
      <c r="U53" s="1" t="s">
        <v>183</v>
      </c>
      <c r="V53" s="1" t="s">
        <v>207</v>
      </c>
      <c r="W53" s="1" t="s">
        <v>32</v>
      </c>
    </row>
    <row r="54" spans="1:23">
      <c r="A54" s="1" t="s">
        <v>214</v>
      </c>
      <c r="B54" s="1" t="s">
        <v>24</v>
      </c>
      <c r="C54" s="1" t="s">
        <v>25</v>
      </c>
      <c r="D54" s="1" t="s">
        <v>288</v>
      </c>
      <c r="E54" s="1" t="s">
        <v>215</v>
      </c>
      <c r="G54" s="1" t="s">
        <v>28</v>
      </c>
      <c r="H54" s="1" t="s">
        <v>216</v>
      </c>
      <c r="L54" s="2">
        <v>0.173379649595687</v>
      </c>
      <c r="M54" s="2">
        <v>0.20385587160735799</v>
      </c>
      <c r="N54" s="1">
        <f t="shared" si="3"/>
        <v>5.7676895894757658</v>
      </c>
      <c r="O54" s="2">
        <v>0.65878577528500104</v>
      </c>
      <c r="P54" s="2">
        <v>4.4999999999999999E-4</v>
      </c>
      <c r="Q54" s="2">
        <v>-0.276182384553879</v>
      </c>
      <c r="R54" s="2">
        <v>1.79999999999999E-3</v>
      </c>
      <c r="S54" s="2">
        <v>5.9999999999999897E-4</v>
      </c>
      <c r="T54" s="2">
        <v>1.39350548972546</v>
      </c>
      <c r="U54" s="1" t="s">
        <v>183</v>
      </c>
      <c r="V54" s="1" t="s">
        <v>217</v>
      </c>
      <c r="W54" s="1" t="s">
        <v>32</v>
      </c>
    </row>
    <row r="55" spans="1:23">
      <c r="A55" s="1" t="s">
        <v>218</v>
      </c>
      <c r="B55" s="1" t="s">
        <v>24</v>
      </c>
      <c r="C55" s="1" t="s">
        <v>25</v>
      </c>
      <c r="D55" s="1" t="s">
        <v>288</v>
      </c>
      <c r="E55" s="1" t="s">
        <v>219</v>
      </c>
      <c r="G55" s="1" t="s">
        <v>28</v>
      </c>
      <c r="H55" s="1" t="s">
        <v>220</v>
      </c>
      <c r="L55" s="2">
        <v>0.34118296703296702</v>
      </c>
      <c r="M55" s="2">
        <v>6.9556075283382895E-2</v>
      </c>
      <c r="N55" s="1">
        <f t="shared" si="3"/>
        <v>2.9309786731040837</v>
      </c>
      <c r="O55" s="2">
        <v>0.674148109215849</v>
      </c>
      <c r="P55" s="2">
        <v>2.5000000000000001E-4</v>
      </c>
      <c r="Q55" s="2">
        <v>-0.40249176104425599</v>
      </c>
      <c r="R55" s="2">
        <v>9.4999999999999902E-4</v>
      </c>
      <c r="S55" s="2">
        <v>3.4999999999999902E-4</v>
      </c>
      <c r="T55" s="2">
        <v>1.29017073142523</v>
      </c>
      <c r="U55" s="1" t="s">
        <v>183</v>
      </c>
      <c r="V55" s="1" t="s">
        <v>217</v>
      </c>
      <c r="W55" s="1" t="s">
        <v>32</v>
      </c>
    </row>
    <row r="56" spans="1:23">
      <c r="A56" s="1" t="s">
        <v>221</v>
      </c>
      <c r="B56" s="1" t="s">
        <v>24</v>
      </c>
      <c r="C56" s="1" t="s">
        <v>25</v>
      </c>
      <c r="D56" s="1" t="s">
        <v>289</v>
      </c>
      <c r="E56" s="1" t="s">
        <v>223</v>
      </c>
      <c r="G56" s="1" t="s">
        <v>28</v>
      </c>
      <c r="H56" s="1" t="s">
        <v>224</v>
      </c>
      <c r="I56" s="1"/>
      <c r="J56" s="1">
        <v>0</v>
      </c>
      <c r="K56" s="1">
        <v>53</v>
      </c>
      <c r="L56" s="2">
        <v>0.83790403225806398</v>
      </c>
      <c r="M56" s="2">
        <v>9.1202650548549993E-2</v>
      </c>
      <c r="N56" s="1">
        <f t="shared" si="3"/>
        <v>1.1934540967718037</v>
      </c>
      <c r="O56" s="2">
        <v>0.117474007418401</v>
      </c>
      <c r="P56" s="2">
        <v>1.7499999999999901E-3</v>
      </c>
      <c r="Q56" s="2">
        <v>-7.6043724613057903E-2</v>
      </c>
      <c r="R56" s="2">
        <v>2.0999999999999999E-3</v>
      </c>
      <c r="S56" s="2">
        <v>5.5000000000000003E-4</v>
      </c>
      <c r="T56" s="2">
        <v>0.97119013935823595</v>
      </c>
      <c r="U56" s="1" t="s">
        <v>225</v>
      </c>
      <c r="V56" s="1" t="s">
        <v>226</v>
      </c>
      <c r="W56" s="1" t="s">
        <v>32</v>
      </c>
    </row>
    <row r="57" spans="1:23">
      <c r="A57" s="1" t="s">
        <v>227</v>
      </c>
      <c r="B57" s="1" t="s">
        <v>24</v>
      </c>
      <c r="C57" s="1" t="s">
        <v>25</v>
      </c>
      <c r="D57" s="1" t="s">
        <v>289</v>
      </c>
      <c r="E57" s="1" t="s">
        <v>228</v>
      </c>
      <c r="G57" s="1" t="s">
        <v>28</v>
      </c>
      <c r="H57" s="1" t="s">
        <v>229</v>
      </c>
      <c r="I57" s="1"/>
      <c r="J57" s="1">
        <v>0</v>
      </c>
      <c r="K57" s="1">
        <v>31</v>
      </c>
      <c r="L57" s="2">
        <v>0.65436956521739098</v>
      </c>
      <c r="M57" s="2">
        <v>3.03870119884228E-2</v>
      </c>
      <c r="N57" s="1">
        <f t="shared" si="3"/>
        <v>1.5281884322779982</v>
      </c>
      <c r="O57" s="2">
        <v>0.29743393755327302</v>
      </c>
      <c r="P57" s="2">
        <v>5.5000000000000003E-4</v>
      </c>
      <c r="Q57" s="2">
        <v>-0.190471504737107</v>
      </c>
      <c r="R57" s="2">
        <v>1.9499999999999999E-3</v>
      </c>
      <c r="S57" s="2">
        <v>6.4999999999999899E-4</v>
      </c>
      <c r="T57" s="2">
        <v>0.87650846204953403</v>
      </c>
      <c r="U57" s="1" t="s">
        <v>225</v>
      </c>
      <c r="V57" s="1" t="s">
        <v>226</v>
      </c>
      <c r="W57" s="1" t="s">
        <v>32</v>
      </c>
    </row>
    <row r="58" spans="1:23">
      <c r="A58" s="1" t="s">
        <v>230</v>
      </c>
      <c r="B58" s="1" t="s">
        <v>24</v>
      </c>
      <c r="C58" s="1" t="s">
        <v>25</v>
      </c>
      <c r="D58" s="1" t="s">
        <v>289</v>
      </c>
      <c r="E58" s="1" t="s">
        <v>231</v>
      </c>
      <c r="G58" s="1" t="s">
        <v>28</v>
      </c>
      <c r="H58" s="1" t="s">
        <v>232</v>
      </c>
      <c r="L58" s="2">
        <v>0.80003376623376599</v>
      </c>
      <c r="M58" s="2">
        <v>8.6622194813529702E-2</v>
      </c>
      <c r="N58" s="1">
        <f t="shared" si="3"/>
        <v>1.2499472424865188</v>
      </c>
      <c r="O58" s="2">
        <v>0.23150733282168301</v>
      </c>
      <c r="P58" s="2">
        <v>8.99999999999999E-4</v>
      </c>
      <c r="Q58" s="2">
        <v>-0.138674971407242</v>
      </c>
      <c r="R58" s="2">
        <v>1.79999999999999E-3</v>
      </c>
      <c r="S58" s="2">
        <v>5.5000000000000003E-4</v>
      </c>
      <c r="T58" s="2">
        <v>0.891688578196702</v>
      </c>
      <c r="U58" s="1" t="s">
        <v>225</v>
      </c>
      <c r="V58" s="1" t="s">
        <v>226</v>
      </c>
      <c r="W58" s="1" t="s">
        <v>32</v>
      </c>
    </row>
    <row r="59" spans="1:23">
      <c r="A59" s="1" t="s">
        <v>233</v>
      </c>
      <c r="B59" s="1" t="s">
        <v>24</v>
      </c>
      <c r="C59" s="1" t="s">
        <v>25</v>
      </c>
      <c r="D59" s="1" t="s">
        <v>289</v>
      </c>
      <c r="E59" s="1" t="s">
        <v>234</v>
      </c>
      <c r="G59" s="1" t="s">
        <v>28</v>
      </c>
      <c r="H59" s="1" t="s">
        <v>235</v>
      </c>
      <c r="L59" s="2">
        <v>0.48728169014084499</v>
      </c>
      <c r="M59" s="2">
        <v>2.8215024466297998E-2</v>
      </c>
      <c r="N59" s="1">
        <f t="shared" si="3"/>
        <v>2.0522010578951937</v>
      </c>
      <c r="O59" s="2">
        <v>0.69866216990165098</v>
      </c>
      <c r="P59" s="2">
        <v>4.0000000000000099E-4</v>
      </c>
      <c r="Q59" s="2">
        <v>-0.45578485918928502</v>
      </c>
      <c r="R59" s="2">
        <v>1.5499999999999999E-3</v>
      </c>
      <c r="S59" s="2">
        <v>6.4999999999999899E-4</v>
      </c>
      <c r="T59" s="2">
        <v>1.0226077781274201</v>
      </c>
      <c r="U59" s="1" t="s">
        <v>225</v>
      </c>
      <c r="V59" s="1" t="s">
        <v>226</v>
      </c>
      <c r="W59" s="1" t="s">
        <v>32</v>
      </c>
    </row>
    <row r="60" spans="1:23">
      <c r="A60" s="1" t="s">
        <v>236</v>
      </c>
      <c r="B60" s="1" t="s">
        <v>24</v>
      </c>
      <c r="C60" s="1" t="s">
        <v>25</v>
      </c>
      <c r="D60" s="1" t="s">
        <v>289</v>
      </c>
      <c r="E60" s="1" t="s">
        <v>237</v>
      </c>
      <c r="G60" s="1" t="s">
        <v>28</v>
      </c>
      <c r="H60" s="1" t="s">
        <v>238</v>
      </c>
      <c r="L60" s="2">
        <v>2.9638019999999998</v>
      </c>
      <c r="M60" s="2">
        <v>1.20996026970585</v>
      </c>
      <c r="N60" s="1">
        <f t="shared" si="3"/>
        <v>0.33740445549331571</v>
      </c>
      <c r="O60" s="2">
        <v>0.359692132282455</v>
      </c>
      <c r="P60" s="2">
        <v>5.5000000000000003E-4</v>
      </c>
      <c r="Q60" s="2">
        <v>-0.172248966379277</v>
      </c>
      <c r="R60" s="2">
        <v>2.3999999999999998E-3</v>
      </c>
      <c r="S60" s="2">
        <v>5.5000000000000003E-4</v>
      </c>
      <c r="T60" s="2">
        <v>1.5083741467404601</v>
      </c>
      <c r="U60" s="1" t="s">
        <v>225</v>
      </c>
      <c r="V60" s="1" t="s">
        <v>226</v>
      </c>
      <c r="W60" s="1" t="s">
        <v>32</v>
      </c>
    </row>
    <row r="61" spans="1:23">
      <c r="A61" s="1" t="s">
        <v>239</v>
      </c>
      <c r="B61" s="1" t="s">
        <v>24</v>
      </c>
      <c r="C61" s="1" t="s">
        <v>25</v>
      </c>
      <c r="D61" s="1" t="s">
        <v>289</v>
      </c>
      <c r="E61" s="1" t="s">
        <v>240</v>
      </c>
      <c r="G61" s="1" t="s">
        <v>28</v>
      </c>
      <c r="H61" s="1" t="s">
        <v>241</v>
      </c>
      <c r="L61" s="2">
        <v>1.84168545454545</v>
      </c>
      <c r="M61" s="2">
        <v>1.1433551147371599</v>
      </c>
      <c r="N61" s="1">
        <f t="shared" si="3"/>
        <v>0.54298088608557316</v>
      </c>
      <c r="O61" s="2">
        <v>0.48598377858411301</v>
      </c>
      <c r="P61" s="2">
        <v>4.4999999999999999E-4</v>
      </c>
      <c r="Q61" s="2">
        <v>-0.27619235796054598</v>
      </c>
      <c r="R61" s="2">
        <v>2.5999999999999999E-3</v>
      </c>
      <c r="S61" s="2">
        <v>6.5000000000000095E-4</v>
      </c>
      <c r="T61" s="2">
        <v>1.34940990322666</v>
      </c>
      <c r="U61" s="1" t="s">
        <v>225</v>
      </c>
      <c r="V61" s="1" t="s">
        <v>226</v>
      </c>
      <c r="W61" s="1" t="s">
        <v>32</v>
      </c>
    </row>
    <row r="62" spans="1:23">
      <c r="A62" s="1" t="s">
        <v>242</v>
      </c>
      <c r="B62" s="1" t="s">
        <v>24</v>
      </c>
      <c r="C62" s="1" t="s">
        <v>25</v>
      </c>
      <c r="D62" s="1" t="s">
        <v>289</v>
      </c>
      <c r="E62" s="1" t="s">
        <v>243</v>
      </c>
      <c r="G62" s="1" t="s">
        <v>28</v>
      </c>
      <c r="H62" s="1" t="s">
        <v>244</v>
      </c>
      <c r="L62" s="2">
        <v>0.450407112068965</v>
      </c>
      <c r="M62" s="2">
        <v>3.4081429466512998E-2</v>
      </c>
      <c r="N62" s="1">
        <f t="shared" si="3"/>
        <v>2.2202136094309339</v>
      </c>
      <c r="O62" s="2">
        <v>0.21048979831356701</v>
      </c>
      <c r="P62" s="2">
        <v>6.9999999999999902E-4</v>
      </c>
      <c r="Q62" s="2">
        <v>-0.170990352624838</v>
      </c>
      <c r="R62" s="2">
        <v>1.25E-3</v>
      </c>
      <c r="S62" s="2">
        <v>6.4999999999999899E-4</v>
      </c>
      <c r="T62" s="2">
        <v>0.69594065124482596</v>
      </c>
      <c r="U62" s="1" t="s">
        <v>225</v>
      </c>
      <c r="V62" s="1" t="s">
        <v>245</v>
      </c>
      <c r="W62" s="1" t="s">
        <v>32</v>
      </c>
    </row>
    <row r="63" spans="1:23">
      <c r="A63" s="1" t="s">
        <v>246</v>
      </c>
      <c r="B63" s="1" t="s">
        <v>24</v>
      </c>
      <c r="C63" s="1" t="s">
        <v>25</v>
      </c>
      <c r="D63" s="1" t="s">
        <v>289</v>
      </c>
      <c r="E63" s="1" t="s">
        <v>247</v>
      </c>
      <c r="G63" s="1" t="s">
        <v>28</v>
      </c>
      <c r="H63" s="1" t="s">
        <v>248</v>
      </c>
      <c r="L63" s="2">
        <v>0.85410064102564098</v>
      </c>
      <c r="M63" s="2">
        <v>2.8585493203050701E-2</v>
      </c>
      <c r="N63" s="1">
        <f t="shared" si="3"/>
        <v>1.1708222098969001</v>
      </c>
      <c r="O63" s="2">
        <v>0.33710416696936002</v>
      </c>
      <c r="P63" s="2">
        <v>5.9999999999999897E-4</v>
      </c>
      <c r="Q63" s="2">
        <v>-0.199904126374845</v>
      </c>
      <c r="R63" s="2">
        <v>2.3499999999999901E-3</v>
      </c>
      <c r="S63" s="2">
        <v>7.0000000000000097E-4</v>
      </c>
      <c r="T63" s="2">
        <v>1.1698071898389399</v>
      </c>
      <c r="U63" s="1" t="s">
        <v>225</v>
      </c>
      <c r="V63" s="1" t="s">
        <v>245</v>
      </c>
      <c r="W63" s="1" t="s">
        <v>32</v>
      </c>
    </row>
    <row r="64" spans="1:23">
      <c r="A64" s="1" t="s">
        <v>249</v>
      </c>
      <c r="B64" s="1" t="s">
        <v>24</v>
      </c>
      <c r="C64" s="1" t="s">
        <v>25</v>
      </c>
      <c r="D64" s="1" t="s">
        <v>289</v>
      </c>
      <c r="E64" s="1" t="s">
        <v>250</v>
      </c>
      <c r="G64" s="1" t="s">
        <v>28</v>
      </c>
      <c r="H64" s="1" t="s">
        <v>251</v>
      </c>
      <c r="L64" s="2">
        <v>0.38591697674418601</v>
      </c>
      <c r="M64" s="2">
        <v>3.5031822684957602E-2</v>
      </c>
      <c r="N64" s="1">
        <f t="shared" si="3"/>
        <v>2.5912309130232254</v>
      </c>
      <c r="O64" s="2">
        <v>0.73587868517579402</v>
      </c>
      <c r="P64" s="2">
        <v>5.9999999999999897E-4</v>
      </c>
      <c r="Q64" s="2">
        <v>-0.496724364991388</v>
      </c>
      <c r="R64" s="2">
        <v>1.4999999999999901E-3</v>
      </c>
      <c r="S64" s="2">
        <v>7.5000000000000002E-4</v>
      </c>
      <c r="T64" s="2">
        <v>0.86886901057619903</v>
      </c>
      <c r="U64" s="1" t="s">
        <v>225</v>
      </c>
      <c r="V64" s="1" t="s">
        <v>245</v>
      </c>
      <c r="W64" s="1" t="s">
        <v>32</v>
      </c>
    </row>
    <row r="65" spans="1:23">
      <c r="A65" s="1" t="s">
        <v>252</v>
      </c>
      <c r="B65" s="1" t="s">
        <v>24</v>
      </c>
      <c r="C65" s="1" t="s">
        <v>25</v>
      </c>
      <c r="D65" s="1" t="s">
        <v>289</v>
      </c>
      <c r="E65" s="1" t="s">
        <v>253</v>
      </c>
      <c r="G65" s="1" t="s">
        <v>28</v>
      </c>
      <c r="H65" s="1" t="s">
        <v>254</v>
      </c>
      <c r="L65" s="2">
        <v>0.48026828571428498</v>
      </c>
      <c r="M65" s="2">
        <v>2.28176644978463E-2</v>
      </c>
      <c r="N65" s="1">
        <f t="shared" si="3"/>
        <v>2.0821695492816845</v>
      </c>
      <c r="O65" s="2">
        <v>0.46613326522585202</v>
      </c>
      <c r="P65" s="2">
        <v>5.0000000000000001E-4</v>
      </c>
      <c r="Q65" s="2">
        <v>-0.239174490788332</v>
      </c>
      <c r="R65" s="2">
        <v>1.4999999999999901E-3</v>
      </c>
      <c r="S65" s="2">
        <v>6.9999999999999902E-4</v>
      </c>
      <c r="T65" s="2">
        <v>0.77803289322164404</v>
      </c>
      <c r="U65" s="1" t="s">
        <v>225</v>
      </c>
      <c r="V65" s="1" t="s">
        <v>245</v>
      </c>
      <c r="W65" s="1" t="s">
        <v>32</v>
      </c>
    </row>
    <row r="66" spans="1:23">
      <c r="A66" s="1" t="s">
        <v>255</v>
      </c>
      <c r="B66" s="1" t="s">
        <v>24</v>
      </c>
      <c r="C66" s="1" t="s">
        <v>25</v>
      </c>
      <c r="D66" s="1" t="s">
        <v>289</v>
      </c>
      <c r="E66" s="1" t="s">
        <v>256</v>
      </c>
      <c r="G66" s="1" t="s">
        <v>28</v>
      </c>
      <c r="H66" s="1" t="s">
        <v>257</v>
      </c>
      <c r="L66" s="2">
        <v>0.55790753424657502</v>
      </c>
      <c r="M66" s="2">
        <v>7.2309115975707897E-2</v>
      </c>
      <c r="N66" s="1">
        <f t="shared" si="3"/>
        <v>1.7924117145154668</v>
      </c>
      <c r="O66" s="2">
        <v>0.31662710432402102</v>
      </c>
      <c r="P66" s="2">
        <v>5.0000000000000001E-4</v>
      </c>
      <c r="Q66" s="2">
        <v>-0.20349099680529401</v>
      </c>
      <c r="R66" s="2">
        <v>1.4499999999999999E-3</v>
      </c>
      <c r="S66" s="2">
        <v>5.9999999999999897E-4</v>
      </c>
      <c r="T66" s="2">
        <v>0.75944894785925499</v>
      </c>
      <c r="U66" s="1" t="s">
        <v>225</v>
      </c>
      <c r="V66" s="1" t="s">
        <v>245</v>
      </c>
      <c r="W66" s="1" t="s">
        <v>32</v>
      </c>
    </row>
    <row r="67" spans="1:23">
      <c r="A67" s="1" t="s">
        <v>258</v>
      </c>
      <c r="B67" s="1" t="s">
        <v>24</v>
      </c>
      <c r="C67" s="1" t="s">
        <v>25</v>
      </c>
      <c r="D67" s="1" t="s">
        <v>289</v>
      </c>
      <c r="E67" s="1" t="s">
        <v>259</v>
      </c>
      <c r="G67" s="1" t="s">
        <v>28</v>
      </c>
      <c r="H67" s="1" t="s">
        <v>260</v>
      </c>
      <c r="L67" s="2">
        <v>0.558964351851851</v>
      </c>
      <c r="M67" s="2">
        <v>3.2409794708796603E-2</v>
      </c>
      <c r="N67" s="1">
        <f t="shared" si="3"/>
        <v>1.7890228539387105</v>
      </c>
      <c r="O67" s="2">
        <v>0.54809044451500999</v>
      </c>
      <c r="P67" s="2">
        <v>4.4999999999999999E-4</v>
      </c>
      <c r="Q67" s="2">
        <v>-0.29744561065257302</v>
      </c>
      <c r="R67" s="2">
        <v>1.6000000000000001E-3</v>
      </c>
      <c r="S67" s="2">
        <v>6.4999999999999899E-4</v>
      </c>
      <c r="T67" s="2">
        <v>0.90920606202447496</v>
      </c>
      <c r="U67" s="1" t="s">
        <v>225</v>
      </c>
      <c r="V67" s="1" t="s">
        <v>245</v>
      </c>
      <c r="W67" s="1" t="s">
        <v>32</v>
      </c>
    </row>
    <row r="68" spans="1:23">
      <c r="A68" s="1" t="s">
        <v>261</v>
      </c>
      <c r="B68" s="1" t="s">
        <v>24</v>
      </c>
      <c r="C68" s="1" t="s">
        <v>25</v>
      </c>
      <c r="D68" s="1" t="s">
        <v>289</v>
      </c>
      <c r="E68" s="1" t="s">
        <v>262</v>
      </c>
      <c r="G68" s="1" t="s">
        <v>28</v>
      </c>
      <c r="H68" s="1" t="s">
        <v>263</v>
      </c>
      <c r="L68" s="2">
        <v>0.15080084541062799</v>
      </c>
      <c r="M68" s="2">
        <v>2.7413745743696101E-2</v>
      </c>
      <c r="N68" s="1">
        <f t="shared" si="3"/>
        <v>6.631262558754349</v>
      </c>
      <c r="O68" s="2">
        <v>1.6966007750743699</v>
      </c>
      <c r="P68" s="2">
        <v>3.9999999999999899E-4</v>
      </c>
      <c r="Q68" s="2">
        <v>-0.99282537236911395</v>
      </c>
      <c r="R68" s="2">
        <v>1.9E-3</v>
      </c>
      <c r="S68" s="2">
        <v>7.0000000000000097E-4</v>
      </c>
      <c r="T68" s="2">
        <v>2.2173997827194301</v>
      </c>
      <c r="U68" s="1" t="s">
        <v>225</v>
      </c>
      <c r="V68" s="1" t="s">
        <v>264</v>
      </c>
      <c r="W68" s="1" t="s">
        <v>32</v>
      </c>
    </row>
    <row r="69" spans="1:23">
      <c r="A69" s="1" t="s">
        <v>265</v>
      </c>
      <c r="B69" s="1" t="s">
        <v>24</v>
      </c>
      <c r="C69" s="1" t="s">
        <v>25</v>
      </c>
      <c r="D69" s="1" t="s">
        <v>289</v>
      </c>
      <c r="E69" s="1" t="s">
        <v>266</v>
      </c>
      <c r="G69" s="1" t="s">
        <v>28</v>
      </c>
      <c r="H69" s="1" t="s">
        <v>267</v>
      </c>
      <c r="L69" s="2">
        <v>0.63870798816567997</v>
      </c>
      <c r="M69" s="2">
        <v>0.20484388693872799</v>
      </c>
      <c r="N69" s="1">
        <f t="shared" si="3"/>
        <v>1.5656607065020789</v>
      </c>
      <c r="O69" s="2">
        <v>0.68325830909288099</v>
      </c>
      <c r="P69" s="2">
        <v>5.9999999999999897E-4</v>
      </c>
      <c r="Q69" s="2">
        <v>-0.24735936178076401</v>
      </c>
      <c r="R69" s="2">
        <v>2.64999999999999E-3</v>
      </c>
      <c r="S69" s="2">
        <v>8.4999999999999995E-4</v>
      </c>
      <c r="T69" s="2">
        <v>1.69104707909588</v>
      </c>
      <c r="U69" s="1" t="s">
        <v>225</v>
      </c>
      <c r="V69" s="1" t="s">
        <v>264</v>
      </c>
      <c r="W69" s="1" t="s">
        <v>32</v>
      </c>
    </row>
    <row r="70" spans="1:23">
      <c r="A70" s="1"/>
      <c r="B70" s="1"/>
      <c r="C70" s="1"/>
      <c r="D70" s="1"/>
      <c r="E70" s="1"/>
      <c r="G70" s="1"/>
      <c r="H70" s="1"/>
      <c r="L70" s="2"/>
      <c r="M70" s="2"/>
      <c r="N70" s="1"/>
      <c r="O70" s="2"/>
      <c r="P70" s="2"/>
      <c r="Q70" s="2"/>
      <c r="R70" s="2"/>
      <c r="S70" s="2"/>
      <c r="T70" s="2"/>
      <c r="U70" s="1"/>
      <c r="V70" s="1"/>
    </row>
    <row r="71" spans="1:23">
      <c r="A71" s="1"/>
      <c r="B71" s="1"/>
      <c r="C71" s="1"/>
      <c r="D71" s="1"/>
      <c r="E71" s="1"/>
      <c r="G71" s="1"/>
      <c r="H71" s="1"/>
      <c r="L71" s="2"/>
      <c r="M71" s="2"/>
      <c r="N71" s="1"/>
      <c r="O71" s="2"/>
      <c r="P71" s="2"/>
      <c r="Q71" s="2"/>
      <c r="R71" s="2"/>
      <c r="S71" s="2"/>
      <c r="T71" s="2"/>
      <c r="U71" s="1"/>
      <c r="V71" s="1"/>
    </row>
    <row r="72" spans="1:23">
      <c r="A72" s="1"/>
      <c r="B72" s="1"/>
      <c r="C72" s="1"/>
      <c r="D72" s="1"/>
      <c r="E72" s="1"/>
      <c r="G72" s="1"/>
      <c r="H72" s="1"/>
      <c r="L72" s="2"/>
      <c r="M72" s="2"/>
      <c r="N72" s="1"/>
      <c r="O72" s="2"/>
      <c r="P72" s="2"/>
      <c r="Q72" s="2"/>
      <c r="R72" s="2"/>
      <c r="S72" s="2"/>
      <c r="T72" s="2"/>
      <c r="U72" s="1"/>
      <c r="V72" s="1"/>
    </row>
    <row r="73" spans="1:23">
      <c r="A73" s="1"/>
      <c r="B73" s="1"/>
      <c r="C73" s="1"/>
      <c r="D73" s="1"/>
      <c r="E73" s="1"/>
      <c r="G73" s="1"/>
      <c r="H73" s="1"/>
      <c r="L73" s="2"/>
      <c r="M73" s="2"/>
      <c r="N73" s="1"/>
      <c r="O73" s="2"/>
      <c r="P73" s="2"/>
      <c r="Q73" s="2"/>
      <c r="R73" s="2"/>
      <c r="S73" s="2"/>
      <c r="T73" s="2"/>
      <c r="U73" s="1"/>
      <c r="V73" s="1"/>
    </row>
    <row r="74" spans="1:23">
      <c r="A74" s="1"/>
      <c r="B74" s="1"/>
      <c r="C74" s="1"/>
      <c r="D74" s="1"/>
      <c r="E74" s="1"/>
      <c r="G74" s="1"/>
      <c r="H74" s="1"/>
      <c r="L74" s="2"/>
      <c r="M74" s="2"/>
      <c r="N74" s="1"/>
      <c r="O74" s="2"/>
      <c r="P74" s="2"/>
      <c r="Q74" s="2"/>
      <c r="R74" s="2"/>
      <c r="S74" s="2"/>
      <c r="T74" s="2"/>
      <c r="U74" s="1"/>
      <c r="V74" s="1"/>
    </row>
    <row r="75" spans="1:23">
      <c r="A75" s="1"/>
      <c r="B75" s="1"/>
      <c r="C75" s="1"/>
      <c r="D75" s="1"/>
      <c r="E75" s="1"/>
      <c r="G75" s="1"/>
      <c r="H75" s="1"/>
      <c r="O75" s="2"/>
      <c r="P75" s="2"/>
      <c r="Q75" s="2"/>
      <c r="R75" s="2"/>
      <c r="S75" s="2"/>
      <c r="T75" s="2"/>
      <c r="U75" s="1"/>
      <c r="V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1"/>
  <sheetViews>
    <sheetView workbookViewId="0"/>
  </sheetViews>
  <sheetFormatPr defaultColWidth="12.5703125" defaultRowHeight="15.75" customHeight="1"/>
  <sheetData>
    <row r="1" spans="1:2">
      <c r="A1" s="3" t="s">
        <v>268</v>
      </c>
      <c r="B1" s="3" t="s">
        <v>269</v>
      </c>
    </row>
    <row r="2" spans="1:2">
      <c r="A2" s="4">
        <v>0</v>
      </c>
      <c r="B2" s="3">
        <v>0</v>
      </c>
    </row>
    <row r="3" spans="1:2">
      <c r="A3" s="4">
        <v>1</v>
      </c>
      <c r="B3" s="3"/>
    </row>
    <row r="4" spans="1:2">
      <c r="A4" s="4">
        <v>2</v>
      </c>
      <c r="B4" s="4">
        <v>2E-3</v>
      </c>
    </row>
    <row r="5" spans="1:2">
      <c r="A5" s="4">
        <v>3</v>
      </c>
      <c r="B5" s="3">
        <v>0.1</v>
      </c>
    </row>
    <row r="6" spans="1:2">
      <c r="A6" s="4">
        <v>4</v>
      </c>
      <c r="B6" s="3">
        <v>0.13</v>
      </c>
    </row>
    <row r="7" spans="1:2">
      <c r="A7" s="4">
        <v>5</v>
      </c>
      <c r="B7" s="4">
        <v>0.17</v>
      </c>
    </row>
    <row r="8" spans="1:2">
      <c r="A8" s="4">
        <v>6</v>
      </c>
      <c r="B8" s="4">
        <v>0.217</v>
      </c>
    </row>
    <row r="9" spans="1:2">
      <c r="A9" s="4">
        <v>7</v>
      </c>
      <c r="B9" s="4">
        <v>0.27400000000000002</v>
      </c>
    </row>
    <row r="10" spans="1:2">
      <c r="A10" s="4">
        <v>8</v>
      </c>
      <c r="B10" s="4">
        <v>0.33200000000000002</v>
      </c>
    </row>
    <row r="11" spans="1:2">
      <c r="A11" s="4">
        <v>9</v>
      </c>
      <c r="B11" s="4">
        <v>0.39</v>
      </c>
    </row>
    <row r="12" spans="1:2">
      <c r="A12" s="4">
        <v>10</v>
      </c>
      <c r="B12" s="4">
        <v>0.51</v>
      </c>
    </row>
    <row r="13" spans="1:2">
      <c r="A13" s="4">
        <v>11</v>
      </c>
      <c r="B13" s="4">
        <v>0.56699999999999995</v>
      </c>
    </row>
    <row r="14" spans="1:2">
      <c r="A14" s="4">
        <v>12</v>
      </c>
      <c r="B14" s="4">
        <v>0.66500000000000004</v>
      </c>
    </row>
    <row r="15" spans="1:2">
      <c r="A15" s="4">
        <v>13</v>
      </c>
      <c r="B15" s="4">
        <v>0.72699999999999998</v>
      </c>
    </row>
    <row r="16" spans="1:2">
      <c r="A16" s="4">
        <v>14</v>
      </c>
      <c r="B16" s="4">
        <v>0.78500000000000003</v>
      </c>
    </row>
    <row r="17" spans="1:2">
      <c r="A17" s="4">
        <v>15</v>
      </c>
      <c r="B17" s="4">
        <v>0.91</v>
      </c>
    </row>
    <row r="18" spans="1:2">
      <c r="A18" s="4">
        <v>16</v>
      </c>
      <c r="B18" s="3"/>
    </row>
    <row r="19" spans="1:2">
      <c r="A19" s="4">
        <v>17</v>
      </c>
      <c r="B19" s="3"/>
    </row>
    <row r="20" spans="1:2">
      <c r="A20" s="4">
        <v>18</v>
      </c>
      <c r="B20" s="4">
        <v>1.1100000000000001</v>
      </c>
    </row>
    <row r="21" spans="1:2">
      <c r="A21" s="4">
        <v>19</v>
      </c>
      <c r="B21" s="3"/>
    </row>
    <row r="22" spans="1:2">
      <c r="A22" s="4">
        <v>20</v>
      </c>
      <c r="B22" s="4">
        <v>1.2949999999999999</v>
      </c>
    </row>
    <row r="23" spans="1:2">
      <c r="A23" s="4">
        <v>21</v>
      </c>
      <c r="B23" s="3"/>
    </row>
    <row r="24" spans="1:2">
      <c r="A24" s="4">
        <v>22</v>
      </c>
      <c r="B24" s="3"/>
    </row>
    <row r="25" spans="1:2">
      <c r="A25" s="4">
        <v>23</v>
      </c>
      <c r="B25" s="3"/>
    </row>
    <row r="26" spans="1:2">
      <c r="A26" s="4">
        <v>24</v>
      </c>
      <c r="B26" s="3"/>
    </row>
    <row r="27" spans="1:2">
      <c r="A27" s="4">
        <v>25</v>
      </c>
      <c r="B27" s="4">
        <v>1.68</v>
      </c>
    </row>
    <row r="28" spans="1:2">
      <c r="A28" s="4">
        <v>26</v>
      </c>
      <c r="B28" s="3"/>
    </row>
    <row r="29" spans="1:2">
      <c r="A29" s="4">
        <v>27</v>
      </c>
      <c r="B29" s="3"/>
    </row>
    <row r="30" spans="1:2">
      <c r="A30" s="4">
        <v>28</v>
      </c>
      <c r="B30" s="3"/>
    </row>
    <row r="31" spans="1:2">
      <c r="A31" s="4">
        <v>29</v>
      </c>
      <c r="B31" s="3"/>
    </row>
    <row r="32" spans="1:2">
      <c r="A32" s="4">
        <v>30</v>
      </c>
      <c r="B32" s="4">
        <v>2.0499999999999998</v>
      </c>
    </row>
    <row r="33" spans="1:2">
      <c r="A33" s="4">
        <v>31</v>
      </c>
      <c r="B33" s="3"/>
    </row>
    <row r="34" spans="1:2">
      <c r="A34" s="4">
        <v>32</v>
      </c>
      <c r="B34" s="3"/>
    </row>
    <row r="35" spans="1:2">
      <c r="A35" s="4">
        <v>33</v>
      </c>
      <c r="B35" s="3"/>
    </row>
    <row r="36" spans="1:2">
      <c r="A36" s="4">
        <v>34</v>
      </c>
      <c r="B36" s="3"/>
    </row>
    <row r="37" spans="1:2">
      <c r="A37" s="4">
        <v>35</v>
      </c>
      <c r="B37" s="4">
        <v>2.2650000000000001</v>
      </c>
    </row>
    <row r="38" spans="1:2">
      <c r="A38" s="4">
        <v>36</v>
      </c>
      <c r="B38" s="3"/>
    </row>
    <row r="39" spans="1:2">
      <c r="A39" s="4">
        <v>37</v>
      </c>
      <c r="B39" s="3"/>
    </row>
    <row r="40" spans="1:2">
      <c r="A40" s="4">
        <v>38</v>
      </c>
      <c r="B40" s="3"/>
    </row>
    <row r="41" spans="1:2">
      <c r="A41" s="4">
        <v>39</v>
      </c>
      <c r="B41" s="3"/>
    </row>
    <row r="42" spans="1:2">
      <c r="A42" s="4">
        <v>40</v>
      </c>
      <c r="B42" s="4">
        <v>2.6</v>
      </c>
    </row>
    <row r="43" spans="1:2">
      <c r="A43" s="4">
        <v>41</v>
      </c>
      <c r="B43" s="3"/>
    </row>
    <row r="44" spans="1:2">
      <c r="A44" s="4">
        <v>42</v>
      </c>
      <c r="B44" s="3"/>
    </row>
    <row r="45" spans="1:2">
      <c r="A45" s="4">
        <v>43</v>
      </c>
      <c r="B45" s="3"/>
    </row>
    <row r="46" spans="1:2">
      <c r="A46" s="4">
        <v>44</v>
      </c>
      <c r="B46" s="3"/>
    </row>
    <row r="47" spans="1:2">
      <c r="A47" s="4">
        <v>45</v>
      </c>
      <c r="B47" s="4">
        <v>2.93</v>
      </c>
    </row>
    <row r="48" spans="1:2">
      <c r="A48" s="4">
        <v>46</v>
      </c>
      <c r="B48" s="3"/>
    </row>
    <row r="49" spans="1:2">
      <c r="A49" s="4">
        <v>47</v>
      </c>
      <c r="B49" s="3"/>
    </row>
    <row r="50" spans="1:2">
      <c r="A50" s="4">
        <v>48</v>
      </c>
      <c r="B50" s="3"/>
    </row>
    <row r="51" spans="1:2">
      <c r="A51" s="4">
        <v>49</v>
      </c>
      <c r="B51" s="3"/>
    </row>
    <row r="52" spans="1:2">
      <c r="A52" s="4">
        <v>50</v>
      </c>
      <c r="B52" s="4">
        <v>3.26</v>
      </c>
    </row>
    <row r="53" spans="1:2">
      <c r="A53" s="4">
        <v>51</v>
      </c>
      <c r="B53" s="3"/>
    </row>
    <row r="54" spans="1:2">
      <c r="A54" s="4">
        <v>52</v>
      </c>
      <c r="B54" s="3"/>
    </row>
    <row r="55" spans="1:2">
      <c r="A55" s="4">
        <v>53</v>
      </c>
      <c r="B55" s="3"/>
    </row>
    <row r="56" spans="1:2">
      <c r="A56" s="4">
        <v>54</v>
      </c>
      <c r="B56" s="3"/>
    </row>
    <row r="57" spans="1:2">
      <c r="A57" s="4">
        <v>55</v>
      </c>
      <c r="B57" s="3">
        <v>3.59</v>
      </c>
    </row>
    <row r="58" spans="1:2">
      <c r="A58" s="4">
        <v>56</v>
      </c>
      <c r="B58" s="3"/>
    </row>
    <row r="59" spans="1:2">
      <c r="A59" s="4">
        <v>57</v>
      </c>
      <c r="B59" s="3"/>
    </row>
    <row r="60" spans="1:2">
      <c r="A60" s="4">
        <v>58</v>
      </c>
      <c r="B60" s="3"/>
    </row>
    <row r="61" spans="1:2">
      <c r="A61" s="4">
        <v>59</v>
      </c>
      <c r="B61" s="3"/>
    </row>
    <row r="62" spans="1:2">
      <c r="A62" s="4">
        <v>60</v>
      </c>
      <c r="B62" s="4">
        <v>3.9</v>
      </c>
    </row>
    <row r="63" spans="1:2">
      <c r="A63" s="4">
        <v>61</v>
      </c>
      <c r="B63" s="3"/>
    </row>
    <row r="64" spans="1:2">
      <c r="A64" s="4">
        <v>62</v>
      </c>
      <c r="B64" s="3"/>
    </row>
    <row r="65" spans="1:2">
      <c r="A65" s="4">
        <v>63</v>
      </c>
      <c r="B65" s="3"/>
    </row>
    <row r="66" spans="1:2">
      <c r="A66" s="4">
        <v>64</v>
      </c>
      <c r="B66" s="3"/>
    </row>
    <row r="67" spans="1:2">
      <c r="A67" s="4">
        <v>65</v>
      </c>
      <c r="B67" s="3">
        <v>4.2</v>
      </c>
    </row>
    <row r="68" spans="1:2">
      <c r="A68" s="4">
        <v>66</v>
      </c>
      <c r="B68" s="3"/>
    </row>
    <row r="69" spans="1:2">
      <c r="A69" s="4">
        <v>67</v>
      </c>
      <c r="B69" s="3"/>
    </row>
    <row r="70" spans="1:2">
      <c r="A70" s="4">
        <v>68</v>
      </c>
      <c r="B70" s="3"/>
    </row>
    <row r="71" spans="1:2">
      <c r="A71" s="4">
        <v>69</v>
      </c>
      <c r="B71" s="3"/>
    </row>
    <row r="72" spans="1:2">
      <c r="A72" s="4">
        <v>70</v>
      </c>
      <c r="B72" s="4">
        <v>4.5199999999999996</v>
      </c>
    </row>
    <row r="73" spans="1:2">
      <c r="A73" s="4">
        <v>71</v>
      </c>
      <c r="B73" s="3"/>
    </row>
    <row r="74" spans="1:2">
      <c r="A74" s="4">
        <v>72</v>
      </c>
      <c r="B74" s="3"/>
    </row>
    <row r="75" spans="1:2">
      <c r="A75" s="4">
        <v>73</v>
      </c>
      <c r="B75" s="3"/>
    </row>
    <row r="76" spans="1:2">
      <c r="A76" s="4">
        <v>74</v>
      </c>
      <c r="B76" s="3"/>
    </row>
    <row r="77" spans="1:2">
      <c r="A77" s="4">
        <v>75</v>
      </c>
      <c r="B77" s="3"/>
    </row>
    <row r="78" spans="1:2">
      <c r="A78" s="4">
        <v>76</v>
      </c>
      <c r="B78" s="3"/>
    </row>
    <row r="79" spans="1:2">
      <c r="A79" s="4">
        <v>77</v>
      </c>
      <c r="B79" s="3"/>
    </row>
    <row r="80" spans="1:2">
      <c r="A80" s="4">
        <v>78</v>
      </c>
      <c r="B80" s="3"/>
    </row>
    <row r="81" spans="1:2">
      <c r="A81" s="4">
        <v>79</v>
      </c>
      <c r="B81" s="3"/>
    </row>
    <row r="82" spans="1:2">
      <c r="A82" s="4">
        <v>80</v>
      </c>
      <c r="B82" s="4">
        <v>5.12</v>
      </c>
    </row>
    <row r="83" spans="1:2">
      <c r="A83" s="4">
        <v>81</v>
      </c>
      <c r="B83" s="3"/>
    </row>
    <row r="84" spans="1:2">
      <c r="A84" s="4">
        <v>82</v>
      </c>
      <c r="B84" s="3"/>
    </row>
    <row r="85" spans="1:2">
      <c r="A85" s="4">
        <v>83</v>
      </c>
      <c r="B85" s="3"/>
    </row>
    <row r="86" spans="1:2">
      <c r="A86" s="4">
        <v>84</v>
      </c>
      <c r="B86" s="3"/>
    </row>
    <row r="87" spans="1:2">
      <c r="A87" s="4">
        <v>85</v>
      </c>
      <c r="B87" s="3"/>
    </row>
    <row r="88" spans="1:2">
      <c r="A88" s="4">
        <v>86</v>
      </c>
      <c r="B88" s="3"/>
    </row>
    <row r="89" spans="1:2">
      <c r="A89" s="4">
        <v>87</v>
      </c>
      <c r="B89" s="3"/>
    </row>
    <row r="90" spans="1:2">
      <c r="A90" s="4">
        <v>88</v>
      </c>
      <c r="B90" s="3"/>
    </row>
    <row r="91" spans="1:2">
      <c r="A91" s="4">
        <v>89</v>
      </c>
      <c r="B91" s="3"/>
    </row>
    <row r="92" spans="1:2">
      <c r="A92" s="4">
        <v>90</v>
      </c>
      <c r="B92" s="4">
        <v>5.7</v>
      </c>
    </row>
    <row r="93" spans="1:2">
      <c r="A93" s="4">
        <v>91</v>
      </c>
      <c r="B93" s="3"/>
    </row>
    <row r="94" spans="1:2">
      <c r="A94" s="4">
        <v>92</v>
      </c>
      <c r="B94" s="3"/>
    </row>
    <row r="95" spans="1:2">
      <c r="A95" s="4">
        <v>93</v>
      </c>
      <c r="B95" s="3"/>
    </row>
    <row r="96" spans="1:2">
      <c r="A96" s="4">
        <v>94</v>
      </c>
      <c r="B96" s="3"/>
    </row>
    <row r="97" spans="1:2">
      <c r="A97" s="4">
        <v>95</v>
      </c>
      <c r="B97" s="3"/>
    </row>
    <row r="98" spans="1:2">
      <c r="A98" s="4">
        <v>96</v>
      </c>
      <c r="B98" s="3"/>
    </row>
    <row r="99" spans="1:2">
      <c r="A99" s="4">
        <v>97</v>
      </c>
      <c r="B99" s="3"/>
    </row>
    <row r="100" spans="1:2">
      <c r="A100" s="4">
        <v>98</v>
      </c>
      <c r="B100" s="3"/>
    </row>
    <row r="101" spans="1:2">
      <c r="A101" s="4">
        <v>99</v>
      </c>
      <c r="B101" s="3"/>
    </row>
    <row r="102" spans="1:2">
      <c r="A102" s="4">
        <v>100</v>
      </c>
      <c r="B102" s="4">
        <v>6.23</v>
      </c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5703125" defaultRowHeight="15.75" customHeight="1"/>
  <sheetData>
    <row r="1" spans="1:2">
      <c r="A1" s="3" t="s">
        <v>268</v>
      </c>
      <c r="B1" s="3" t="s">
        <v>269</v>
      </c>
    </row>
    <row r="2" spans="1:2">
      <c r="A2" s="1">
        <v>0</v>
      </c>
      <c r="B2" s="1">
        <v>0</v>
      </c>
    </row>
    <row r="3" spans="1:2">
      <c r="A3" s="1">
        <v>3</v>
      </c>
      <c r="B3" s="1">
        <v>0.5</v>
      </c>
    </row>
    <row r="4" spans="1:2">
      <c r="A4" s="1">
        <v>11</v>
      </c>
      <c r="B4" s="1">
        <v>2.0499999999999998</v>
      </c>
    </row>
    <row r="5" spans="1:2">
      <c r="A5" s="1">
        <v>18</v>
      </c>
      <c r="B5" s="1">
        <v>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8"/>
  <sheetViews>
    <sheetView workbookViewId="0"/>
  </sheetViews>
  <sheetFormatPr defaultColWidth="12.5703125" defaultRowHeight="15.75" customHeight="1"/>
  <sheetData>
    <row r="1" spans="1:4">
      <c r="A1" s="1" t="s">
        <v>270</v>
      </c>
      <c r="B1" s="1" t="s">
        <v>271</v>
      </c>
      <c r="C1" s="1" t="s">
        <v>272</v>
      </c>
      <c r="D1" s="1" t="s">
        <v>273</v>
      </c>
    </row>
    <row r="2" spans="1:4">
      <c r="A2" s="2" t="s">
        <v>26</v>
      </c>
      <c r="B2" s="2" t="s">
        <v>274</v>
      </c>
      <c r="C2" s="1">
        <v>0</v>
      </c>
      <c r="D2" s="1" t="s">
        <v>275</v>
      </c>
    </row>
    <row r="3" spans="1:4">
      <c r="A3" s="2" t="s">
        <v>26</v>
      </c>
      <c r="B3" s="5" t="s">
        <v>276</v>
      </c>
      <c r="C3" s="1">
        <v>2</v>
      </c>
      <c r="D3" s="1" t="s">
        <v>277</v>
      </c>
    </row>
    <row r="4" spans="1:4">
      <c r="A4" s="2" t="s">
        <v>72</v>
      </c>
      <c r="B4" s="5" t="s">
        <v>278</v>
      </c>
      <c r="C4" s="1">
        <v>1</v>
      </c>
      <c r="D4" s="1" t="s">
        <v>279</v>
      </c>
    </row>
    <row r="5" spans="1:4">
      <c r="A5" s="2" t="s">
        <v>222</v>
      </c>
      <c r="B5" s="2" t="s">
        <v>280</v>
      </c>
      <c r="D5" s="1" t="s">
        <v>275</v>
      </c>
    </row>
    <row r="6" spans="1:4">
      <c r="A6" s="2" t="s">
        <v>222</v>
      </c>
      <c r="B6" s="2" t="s">
        <v>281</v>
      </c>
      <c r="C6" s="1">
        <v>1</v>
      </c>
      <c r="D6" s="1" t="s">
        <v>275</v>
      </c>
    </row>
    <row r="8" spans="1:4">
      <c r="A8" s="1" t="s">
        <v>196</v>
      </c>
      <c r="B8" s="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cells</vt:lpstr>
      <vt:lpstr>elder_uv_cal</vt:lpstr>
      <vt:lpstr>big_uv_cal</vt:lpstr>
      <vt:lpstr>tricky_traces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Hage, Travis</cp:lastModifiedBy>
  <dcterms:modified xsi:type="dcterms:W3CDTF">2026-03-17T14:03:41Z</dcterms:modified>
</cp:coreProperties>
</file>