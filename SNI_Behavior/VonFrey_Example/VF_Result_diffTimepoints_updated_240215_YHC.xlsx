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ghan.creed\Box\CreedLabBoxDrive\Jeremy\SNI_Dopamine_Paper\Figure1_SNIBehavior\VonFrey_Example\"/>
    </mc:Choice>
  </mc:AlternateContent>
  <xr:revisionPtr revIDLastSave="0" documentId="8_{69461184-65E5-4B34-B2A0-5895AE632EB6}" xr6:coauthVersionLast="47" xr6:coauthVersionMax="47" xr10:uidLastSave="{00000000-0000-0000-0000-000000000000}"/>
  <bookViews>
    <workbookView xWindow="-120" yWindow="-120" windowWidth="29040" windowHeight="15840" activeTab="11" xr2:uid="{ADB5D563-AB8F-E14C-921E-5F228CED61F1}"/>
  </bookViews>
  <sheets>
    <sheet name="Plan" sheetId="7" r:id="rId1"/>
    <sheet name="Mice info" sheetId="8" r:id="rId2"/>
    <sheet name="BL (Pre-SNI)" sheetId="1" r:id="rId3"/>
    <sheet name="Surgery" sheetId="2" r:id="rId4"/>
    <sheet name="Post-SNI" sheetId="3" r:id="rId5"/>
    <sheet name="Week 1" sheetId="6" r:id="rId6"/>
    <sheet name="Week 2" sheetId="4" r:id="rId7"/>
    <sheet name="Week 3" sheetId="12" r:id="rId8"/>
    <sheet name="Week 4" sheetId="13" r:id="rId9"/>
    <sheet name="Vehicle A" sheetId="10" r:id="rId10"/>
    <sheet name="Loperamide" sheetId="11" r:id="rId11"/>
    <sheet name="Vehicle B" sheetId="9" r:id="rId12"/>
    <sheet name="Metformin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28" i="9" l="1"/>
  <c r="AU28" i="9" s="1"/>
  <c r="AS28" i="9"/>
  <c r="AT23" i="9"/>
  <c r="AS23" i="9"/>
  <c r="AU23" i="9" s="1"/>
  <c r="AT18" i="9"/>
  <c r="AS18" i="9"/>
  <c r="AT13" i="9"/>
  <c r="AS13" i="9"/>
  <c r="AT8" i="9"/>
  <c r="AU8" i="9" s="1"/>
  <c r="AS8" i="9"/>
  <c r="AT3" i="9"/>
  <c r="AU3" i="9" s="1"/>
  <c r="AS3" i="9"/>
  <c r="AL28" i="5"/>
  <c r="AM28" i="5" s="1"/>
  <c r="AK28" i="5"/>
  <c r="AD28" i="5"/>
  <c r="AE28" i="5" s="1"/>
  <c r="AC28" i="5"/>
  <c r="AL23" i="5"/>
  <c r="AM23" i="5" s="1"/>
  <c r="AK23" i="5"/>
  <c r="AE23" i="5"/>
  <c r="AD23" i="5"/>
  <c r="AC23" i="5"/>
  <c r="AL18" i="5"/>
  <c r="AM18" i="5" s="1"/>
  <c r="AK18" i="5"/>
  <c r="AE18" i="5"/>
  <c r="AD18" i="5"/>
  <c r="AC18" i="5"/>
  <c r="AL13" i="5"/>
  <c r="AK13" i="5"/>
  <c r="AM13" i="5" s="1"/>
  <c r="AD13" i="5"/>
  <c r="AC13" i="5"/>
  <c r="AE13" i="5" s="1"/>
  <c r="AL8" i="5"/>
  <c r="AM8" i="5" s="1"/>
  <c r="AK8" i="5"/>
  <c r="AD8" i="5"/>
  <c r="AE8" i="5" s="1"/>
  <c r="AC8" i="5"/>
  <c r="AL3" i="5"/>
  <c r="AM3" i="5" s="1"/>
  <c r="AK3" i="5"/>
  <c r="AE3" i="5"/>
  <c r="AD3" i="5"/>
  <c r="AC3" i="5"/>
  <c r="AT28" i="5"/>
  <c r="AU28" i="5" s="1"/>
  <c r="AS28" i="5"/>
  <c r="AT23" i="5"/>
  <c r="AU23" i="5" s="1"/>
  <c r="AS23" i="5"/>
  <c r="AT18" i="5"/>
  <c r="AU18" i="5" s="1"/>
  <c r="AS18" i="5"/>
  <c r="AT13" i="5"/>
  <c r="AU13" i="5" s="1"/>
  <c r="AS13" i="5"/>
  <c r="AT8" i="5"/>
  <c r="AU8" i="5" s="1"/>
  <c r="AS8" i="5"/>
  <c r="AT3" i="5"/>
  <c r="AU3" i="5" s="1"/>
  <c r="AS3" i="5"/>
  <c r="F28" i="5"/>
  <c r="G28" i="5" s="1"/>
  <c r="E28" i="5"/>
  <c r="F23" i="5"/>
  <c r="G23" i="5" s="1"/>
  <c r="E23" i="5"/>
  <c r="F18" i="5"/>
  <c r="G18" i="5" s="1"/>
  <c r="E18" i="5"/>
  <c r="F13" i="5"/>
  <c r="G13" i="5" s="1"/>
  <c r="E13" i="5"/>
  <c r="G8" i="5"/>
  <c r="F8" i="5"/>
  <c r="E8" i="5"/>
  <c r="G3" i="5"/>
  <c r="F3" i="5"/>
  <c r="E3" i="5"/>
  <c r="V28" i="5"/>
  <c r="W28" i="5" s="1"/>
  <c r="U28" i="5"/>
  <c r="N28" i="5"/>
  <c r="O28" i="5" s="1"/>
  <c r="M28" i="5"/>
  <c r="V23" i="5"/>
  <c r="W23" i="5" s="1"/>
  <c r="U23" i="5"/>
  <c r="O23" i="5"/>
  <c r="N23" i="5"/>
  <c r="M23" i="5"/>
  <c r="V18" i="5"/>
  <c r="W18" i="5" s="1"/>
  <c r="U18" i="5"/>
  <c r="O18" i="5"/>
  <c r="N18" i="5"/>
  <c r="M18" i="5"/>
  <c r="W13" i="5"/>
  <c r="V13" i="5"/>
  <c r="U13" i="5"/>
  <c r="N13" i="5"/>
  <c r="M13" i="5"/>
  <c r="O13" i="5" s="1"/>
  <c r="V8" i="5"/>
  <c r="W8" i="5" s="1"/>
  <c r="U8" i="5"/>
  <c r="N8" i="5"/>
  <c r="O8" i="5" s="1"/>
  <c r="M8" i="5"/>
  <c r="V3" i="5"/>
  <c r="W3" i="5" s="1"/>
  <c r="U3" i="5"/>
  <c r="N3" i="5"/>
  <c r="O3" i="5" s="1"/>
  <c r="M3" i="5"/>
  <c r="V28" i="9"/>
  <c r="U28" i="9"/>
  <c r="N28" i="9"/>
  <c r="O28" i="9" s="1"/>
  <c r="M28" i="9"/>
  <c r="V23" i="9"/>
  <c r="U23" i="9"/>
  <c r="N23" i="9"/>
  <c r="M23" i="9"/>
  <c r="V18" i="9"/>
  <c r="U18" i="9"/>
  <c r="N18" i="9"/>
  <c r="M18" i="9"/>
  <c r="V13" i="9"/>
  <c r="U13" i="9"/>
  <c r="N13" i="9"/>
  <c r="O13" i="9" s="1"/>
  <c r="M13" i="9"/>
  <c r="V8" i="9"/>
  <c r="U8" i="9"/>
  <c r="N8" i="9"/>
  <c r="M8" i="9"/>
  <c r="V3" i="9"/>
  <c r="U3" i="9"/>
  <c r="N3" i="9"/>
  <c r="O3" i="9" s="1"/>
  <c r="M3" i="9"/>
  <c r="AT28" i="13"/>
  <c r="AS28" i="13"/>
  <c r="AT23" i="13"/>
  <c r="AS23" i="13"/>
  <c r="AT18" i="13"/>
  <c r="AS18" i="13"/>
  <c r="AT13" i="13"/>
  <c r="AS13" i="13"/>
  <c r="AT8" i="13"/>
  <c r="AS8" i="13"/>
  <c r="AT3" i="13"/>
  <c r="AS3" i="13"/>
  <c r="AL28" i="13"/>
  <c r="AM28" i="13" s="1"/>
  <c r="AK28" i="13"/>
  <c r="AL23" i="13"/>
  <c r="AM23" i="13" s="1"/>
  <c r="AK23" i="13"/>
  <c r="AL18" i="13"/>
  <c r="AM18" i="13" s="1"/>
  <c r="AK18" i="13"/>
  <c r="AL13" i="13"/>
  <c r="AM13" i="13" s="1"/>
  <c r="AK13" i="13"/>
  <c r="AM8" i="13"/>
  <c r="AL8" i="13"/>
  <c r="AK8" i="13"/>
  <c r="AL3" i="13"/>
  <c r="AM3" i="13" s="1"/>
  <c r="AK3" i="13"/>
  <c r="AD28" i="13"/>
  <c r="AE28" i="13" s="1"/>
  <c r="AC28" i="13"/>
  <c r="AD23" i="13"/>
  <c r="AE23" i="13" s="1"/>
  <c r="AC23" i="13"/>
  <c r="AD18" i="13"/>
  <c r="AE18" i="13" s="1"/>
  <c r="AC18" i="13"/>
  <c r="AD13" i="13"/>
  <c r="AE13" i="13" s="1"/>
  <c r="AC13" i="13"/>
  <c r="AD8" i="13"/>
  <c r="AE8" i="13" s="1"/>
  <c r="AC8" i="13"/>
  <c r="AE3" i="13"/>
  <c r="AD3" i="13"/>
  <c r="AC3" i="13"/>
  <c r="V28" i="13"/>
  <c r="W28" i="13" s="1"/>
  <c r="U28" i="13"/>
  <c r="V23" i="13"/>
  <c r="W23" i="13" s="1"/>
  <c r="U23" i="13"/>
  <c r="V18" i="13"/>
  <c r="W18" i="13" s="1"/>
  <c r="U18" i="13"/>
  <c r="V13" i="13"/>
  <c r="W13" i="13" s="1"/>
  <c r="U13" i="13"/>
  <c r="V8" i="13"/>
  <c r="W8" i="13" s="1"/>
  <c r="U8" i="13"/>
  <c r="W3" i="13"/>
  <c r="V3" i="13"/>
  <c r="U3" i="13"/>
  <c r="N28" i="13"/>
  <c r="O28" i="13" s="1"/>
  <c r="M28" i="13"/>
  <c r="N23" i="13"/>
  <c r="O23" i="13" s="1"/>
  <c r="M23" i="13"/>
  <c r="N18" i="13"/>
  <c r="O18" i="13" s="1"/>
  <c r="M18" i="13"/>
  <c r="N13" i="13"/>
  <c r="O13" i="13" s="1"/>
  <c r="M13" i="13"/>
  <c r="N8" i="13"/>
  <c r="O8" i="13" s="1"/>
  <c r="M8" i="13"/>
  <c r="O3" i="13"/>
  <c r="N3" i="13"/>
  <c r="M3" i="13"/>
  <c r="F28" i="13"/>
  <c r="G28" i="13" s="1"/>
  <c r="E28" i="13"/>
  <c r="F23" i="13"/>
  <c r="G23" i="13" s="1"/>
  <c r="E23" i="13"/>
  <c r="F18" i="13"/>
  <c r="G18" i="13" s="1"/>
  <c r="E18" i="13"/>
  <c r="F13" i="13"/>
  <c r="G13" i="13" s="1"/>
  <c r="E13" i="13"/>
  <c r="F8" i="13"/>
  <c r="G8" i="13" s="1"/>
  <c r="E8" i="13"/>
  <c r="G3" i="13"/>
  <c r="F3" i="13"/>
  <c r="E3" i="13"/>
  <c r="AT28" i="12"/>
  <c r="AU28" i="12" s="1"/>
  <c r="AS28" i="12"/>
  <c r="AT23" i="12"/>
  <c r="AU23" i="12" s="1"/>
  <c r="AS23" i="12"/>
  <c r="AT18" i="12"/>
  <c r="AU18" i="12" s="1"/>
  <c r="AS18" i="12"/>
  <c r="AT13" i="12"/>
  <c r="AU13" i="12" s="1"/>
  <c r="AS13" i="12"/>
  <c r="AT8" i="12"/>
  <c r="AU8" i="12" s="1"/>
  <c r="AS8" i="12"/>
  <c r="AU3" i="12"/>
  <c r="AT3" i="12"/>
  <c r="AS3" i="12"/>
  <c r="AL28" i="12"/>
  <c r="AM28" i="12" s="1"/>
  <c r="AK28" i="12"/>
  <c r="AL23" i="12"/>
  <c r="AM23" i="12" s="1"/>
  <c r="AK23" i="12"/>
  <c r="AL18" i="12"/>
  <c r="AM18" i="12" s="1"/>
  <c r="AK18" i="12"/>
  <c r="AL13" i="12"/>
  <c r="AK13" i="12"/>
  <c r="AM13" i="12" s="1"/>
  <c r="AL8" i="12"/>
  <c r="AM8" i="12" s="1"/>
  <c r="AK8" i="12"/>
  <c r="AM3" i="12"/>
  <c r="AL3" i="12"/>
  <c r="AK3" i="12"/>
  <c r="AD28" i="12"/>
  <c r="AE28" i="12" s="1"/>
  <c r="AC28" i="12"/>
  <c r="AD23" i="12"/>
  <c r="AE23" i="12" s="1"/>
  <c r="AC23" i="12"/>
  <c r="AD18" i="12"/>
  <c r="AE18" i="12" s="1"/>
  <c r="AC18" i="12"/>
  <c r="AD13" i="12"/>
  <c r="AE13" i="12" s="1"/>
  <c r="AC13" i="12"/>
  <c r="AD8" i="12"/>
  <c r="AE8" i="12" s="1"/>
  <c r="AC8" i="12"/>
  <c r="AE3" i="12"/>
  <c r="AD3" i="12"/>
  <c r="AC3" i="12"/>
  <c r="V28" i="12"/>
  <c r="W28" i="12" s="1"/>
  <c r="U28" i="12"/>
  <c r="V23" i="12"/>
  <c r="W23" i="12" s="1"/>
  <c r="U23" i="12"/>
  <c r="V18" i="12"/>
  <c r="W18" i="12" s="1"/>
  <c r="U18" i="12"/>
  <c r="V13" i="12"/>
  <c r="W13" i="12" s="1"/>
  <c r="U13" i="12"/>
  <c r="V8" i="12"/>
  <c r="U8" i="12"/>
  <c r="W8" i="12" s="1"/>
  <c r="W3" i="12"/>
  <c r="V3" i="12"/>
  <c r="U3" i="12"/>
  <c r="N28" i="12"/>
  <c r="O28" i="12" s="1"/>
  <c r="M28" i="12"/>
  <c r="N23" i="12"/>
  <c r="O23" i="12" s="1"/>
  <c r="M23" i="12"/>
  <c r="N18" i="12"/>
  <c r="O18" i="12" s="1"/>
  <c r="M18" i="12"/>
  <c r="N13" i="12"/>
  <c r="O13" i="12" s="1"/>
  <c r="M13" i="12"/>
  <c r="N8" i="12"/>
  <c r="O8" i="12" s="1"/>
  <c r="M8" i="12"/>
  <c r="O3" i="12"/>
  <c r="N3" i="12"/>
  <c r="M3" i="12"/>
  <c r="F28" i="12"/>
  <c r="G28" i="12" s="1"/>
  <c r="E28" i="12"/>
  <c r="F23" i="12"/>
  <c r="G23" i="12" s="1"/>
  <c r="E23" i="12"/>
  <c r="F18" i="12"/>
  <c r="G18" i="12" s="1"/>
  <c r="E18" i="12"/>
  <c r="F13" i="12"/>
  <c r="G13" i="12" s="1"/>
  <c r="E13" i="12"/>
  <c r="F8" i="12"/>
  <c r="G8" i="12" s="1"/>
  <c r="E8" i="12"/>
  <c r="F3" i="12"/>
  <c r="G3" i="12" s="1"/>
  <c r="E3" i="12"/>
  <c r="AS28" i="11"/>
  <c r="AS23" i="11"/>
  <c r="AS18" i="11"/>
  <c r="AS13" i="11"/>
  <c r="AS8" i="11"/>
  <c r="AS3" i="11"/>
  <c r="AU3" i="11" s="1"/>
  <c r="AT28" i="11"/>
  <c r="AT23" i="11"/>
  <c r="AT18" i="11"/>
  <c r="AT13" i="11"/>
  <c r="AT8" i="11"/>
  <c r="AT3" i="11"/>
  <c r="AL28" i="11"/>
  <c r="AK28" i="11"/>
  <c r="AL23" i="11"/>
  <c r="AK23" i="11"/>
  <c r="AL18" i="11"/>
  <c r="AK18" i="11"/>
  <c r="AL13" i="11"/>
  <c r="AK13" i="11"/>
  <c r="AL8" i="11"/>
  <c r="AK8" i="11"/>
  <c r="AL3" i="11"/>
  <c r="AK3" i="11"/>
  <c r="AD28" i="11"/>
  <c r="AC28" i="11"/>
  <c r="AD23" i="11"/>
  <c r="AC23" i="11"/>
  <c r="AD18" i="11"/>
  <c r="AC18" i="11"/>
  <c r="AD13" i="11"/>
  <c r="AC13" i="11"/>
  <c r="AD8" i="11"/>
  <c r="AC8" i="11"/>
  <c r="AD3" i="11"/>
  <c r="AC3" i="11"/>
  <c r="V28" i="11"/>
  <c r="U28" i="11"/>
  <c r="V23" i="11"/>
  <c r="U23" i="11"/>
  <c r="V18" i="11"/>
  <c r="U18" i="11"/>
  <c r="V13" i="11"/>
  <c r="U13" i="11"/>
  <c r="W13" i="11" s="1"/>
  <c r="V8" i="11"/>
  <c r="U8" i="11"/>
  <c r="W8" i="11" s="1"/>
  <c r="V3" i="11"/>
  <c r="U3" i="11"/>
  <c r="W3" i="11" s="1"/>
  <c r="N28" i="11"/>
  <c r="M28" i="11"/>
  <c r="N23" i="11"/>
  <c r="M23" i="11"/>
  <c r="N18" i="11"/>
  <c r="M18" i="11"/>
  <c r="N13" i="11"/>
  <c r="M13" i="11"/>
  <c r="O13" i="11" s="1"/>
  <c r="N8" i="11"/>
  <c r="M8" i="11"/>
  <c r="N3" i="11"/>
  <c r="M3" i="11"/>
  <c r="O3" i="11" s="1"/>
  <c r="F23" i="11"/>
  <c r="E23" i="11"/>
  <c r="F18" i="11"/>
  <c r="E18" i="11"/>
  <c r="F13" i="11"/>
  <c r="E13" i="11"/>
  <c r="F8" i="11"/>
  <c r="E8" i="11"/>
  <c r="F3" i="11"/>
  <c r="E3" i="11"/>
  <c r="G3" i="11" s="1"/>
  <c r="AT28" i="10"/>
  <c r="AS28" i="10"/>
  <c r="AT23" i="10"/>
  <c r="AS23" i="10"/>
  <c r="AT18" i="10"/>
  <c r="AU18" i="10" s="1"/>
  <c r="AS18" i="10"/>
  <c r="AT13" i="10"/>
  <c r="AS13" i="10"/>
  <c r="AT8" i="10"/>
  <c r="AS8" i="10"/>
  <c r="AU8" i="10" s="1"/>
  <c r="AT3" i="10"/>
  <c r="AS3" i="10"/>
  <c r="AU3" i="10" s="1"/>
  <c r="AL28" i="10"/>
  <c r="AK28" i="10"/>
  <c r="AL23" i="10"/>
  <c r="AM23" i="10" s="1"/>
  <c r="AK23" i="10"/>
  <c r="AL18" i="10"/>
  <c r="AK18" i="10"/>
  <c r="AL13" i="10"/>
  <c r="AK13" i="10"/>
  <c r="AL8" i="10"/>
  <c r="AK8" i="10"/>
  <c r="AL3" i="10"/>
  <c r="AK3" i="10"/>
  <c r="AD28" i="10"/>
  <c r="AC28" i="10"/>
  <c r="AD23" i="10"/>
  <c r="AC23" i="10"/>
  <c r="AD18" i="10"/>
  <c r="AC18" i="10"/>
  <c r="AD13" i="10"/>
  <c r="AE13" i="10" s="1"/>
  <c r="AC13" i="10"/>
  <c r="AD8" i="10"/>
  <c r="AE8" i="10" s="1"/>
  <c r="AC8" i="10"/>
  <c r="AD3" i="10"/>
  <c r="AC3" i="10"/>
  <c r="V28" i="10"/>
  <c r="W28" i="10" s="1"/>
  <c r="U28" i="10"/>
  <c r="W23" i="10"/>
  <c r="V23" i="10"/>
  <c r="U23" i="10"/>
  <c r="V18" i="10"/>
  <c r="W18" i="10" s="1"/>
  <c r="U18" i="10"/>
  <c r="V13" i="10"/>
  <c r="U13" i="10"/>
  <c r="W13" i="10" s="1"/>
  <c r="V8" i="10"/>
  <c r="W8" i="10" s="1"/>
  <c r="U8" i="10"/>
  <c r="V3" i="10"/>
  <c r="U3" i="10"/>
  <c r="W3" i="10" s="1"/>
  <c r="N28" i="10"/>
  <c r="O28" i="10" s="1"/>
  <c r="M28" i="10"/>
  <c r="M3" i="10"/>
  <c r="N23" i="10"/>
  <c r="O23" i="10" s="1"/>
  <c r="M23" i="10"/>
  <c r="N18" i="10"/>
  <c r="O18" i="10" s="1"/>
  <c r="M18" i="10"/>
  <c r="N13" i="10"/>
  <c r="O13" i="10" s="1"/>
  <c r="M13" i="10"/>
  <c r="N8" i="10"/>
  <c r="O8" i="10" s="1"/>
  <c r="M8" i="10"/>
  <c r="N3" i="10"/>
  <c r="F18" i="10"/>
  <c r="G18" i="10" s="1"/>
  <c r="E18" i="10"/>
  <c r="F8" i="10"/>
  <c r="G8" i="10" s="1"/>
  <c r="E8" i="10"/>
  <c r="E23" i="10"/>
  <c r="F23" i="10"/>
  <c r="F13" i="10"/>
  <c r="G13" i="10" s="1"/>
  <c r="E13" i="10"/>
  <c r="G3" i="10"/>
  <c r="F3" i="10"/>
  <c r="E3" i="10"/>
  <c r="AD46" i="3"/>
  <c r="AE46" i="3" s="1"/>
  <c r="AC46" i="3"/>
  <c r="AD41" i="3"/>
  <c r="AC41" i="3"/>
  <c r="AD36" i="3"/>
  <c r="AE36" i="3" s="1"/>
  <c r="AC36" i="3"/>
  <c r="AD31" i="3"/>
  <c r="AE31" i="3" s="1"/>
  <c r="AC31" i="3"/>
  <c r="AE41" i="3"/>
  <c r="U46" i="3"/>
  <c r="V46" i="3"/>
  <c r="W46" i="3" s="1"/>
  <c r="V41" i="3"/>
  <c r="U41" i="3"/>
  <c r="V36" i="3"/>
  <c r="U36" i="3"/>
  <c r="V31" i="3"/>
  <c r="W31" i="3" s="1"/>
  <c r="U31" i="3"/>
  <c r="N51" i="3"/>
  <c r="M51" i="3"/>
  <c r="N46" i="3"/>
  <c r="O46" i="3" s="1"/>
  <c r="M46" i="3"/>
  <c r="N41" i="3"/>
  <c r="M41" i="3"/>
  <c r="O41" i="3" s="1"/>
  <c r="N36" i="3"/>
  <c r="O36" i="3" s="1"/>
  <c r="M36" i="3"/>
  <c r="N31" i="3"/>
  <c r="M31" i="3"/>
  <c r="F51" i="3"/>
  <c r="E51" i="3"/>
  <c r="F46" i="3"/>
  <c r="E46" i="3"/>
  <c r="F41" i="3"/>
  <c r="G41" i="3" s="1"/>
  <c r="E41" i="3"/>
  <c r="F36" i="3"/>
  <c r="E36" i="3"/>
  <c r="F31" i="3"/>
  <c r="E31" i="3"/>
  <c r="G51" i="3"/>
  <c r="AD17" i="3"/>
  <c r="AE17" i="3" s="1"/>
  <c r="AC17" i="3"/>
  <c r="AD12" i="3"/>
  <c r="AC12" i="3"/>
  <c r="AE12" i="3" s="1"/>
  <c r="AD7" i="3"/>
  <c r="AC7" i="3"/>
  <c r="AD2" i="3"/>
  <c r="AC2" i="3"/>
  <c r="V17" i="3"/>
  <c r="U17" i="3"/>
  <c r="W17" i="3" s="1"/>
  <c r="V12" i="3"/>
  <c r="U12" i="3"/>
  <c r="V7" i="3"/>
  <c r="U7" i="3"/>
  <c r="V2" i="3"/>
  <c r="W2" i="3" s="1"/>
  <c r="U2" i="3"/>
  <c r="W12" i="3"/>
  <c r="N17" i="3"/>
  <c r="M17" i="3"/>
  <c r="N12" i="3"/>
  <c r="O12" i="3" s="1"/>
  <c r="M12" i="3"/>
  <c r="N7" i="3"/>
  <c r="M7" i="3"/>
  <c r="N2" i="3"/>
  <c r="M2" i="3"/>
  <c r="O17" i="3"/>
  <c r="O7" i="3"/>
  <c r="F22" i="3"/>
  <c r="E22" i="3"/>
  <c r="F17" i="3"/>
  <c r="E17" i="3"/>
  <c r="F12" i="3"/>
  <c r="E12" i="3"/>
  <c r="F7" i="3"/>
  <c r="E7" i="3"/>
  <c r="F2" i="3"/>
  <c r="E2" i="3"/>
  <c r="G7" i="3"/>
  <c r="W36" i="3"/>
  <c r="G31" i="3"/>
  <c r="W18" i="9" l="1"/>
  <c r="W28" i="9"/>
  <c r="AU13" i="9"/>
  <c r="AU18" i="9"/>
  <c r="O18" i="9"/>
  <c r="O23" i="9"/>
  <c r="W3" i="9"/>
  <c r="W13" i="9"/>
  <c r="W23" i="9"/>
  <c r="O8" i="9"/>
  <c r="W8" i="9"/>
  <c r="AU13" i="13"/>
  <c r="AU8" i="13"/>
  <c r="AU3" i="13"/>
  <c r="AU28" i="13"/>
  <c r="AU23" i="13"/>
  <c r="AU18" i="13"/>
  <c r="AM28" i="11"/>
  <c r="AU13" i="11"/>
  <c r="G13" i="11"/>
  <c r="AM18" i="11"/>
  <c r="AU18" i="11"/>
  <c r="G18" i="11"/>
  <c r="W23" i="11"/>
  <c r="AE13" i="11"/>
  <c r="AM3" i="11"/>
  <c r="AU28" i="11"/>
  <c r="W28" i="11"/>
  <c r="AE18" i="11"/>
  <c r="AM8" i="11"/>
  <c r="G8" i="11"/>
  <c r="O23" i="11"/>
  <c r="AE3" i="11"/>
  <c r="AE23" i="11"/>
  <c r="AM13" i="11"/>
  <c r="G23" i="11"/>
  <c r="AU8" i="11"/>
  <c r="AM23" i="11"/>
  <c r="W18" i="11"/>
  <c r="O28" i="11"/>
  <c r="O18" i="11"/>
  <c r="AU23" i="11"/>
  <c r="AE8" i="11"/>
  <c r="AE28" i="11"/>
  <c r="O8" i="11"/>
  <c r="AU28" i="10"/>
  <c r="AU23" i="10"/>
  <c r="AU13" i="10"/>
  <c r="AM3" i="10"/>
  <c r="AM8" i="10"/>
  <c r="AM13" i="10"/>
  <c r="AM18" i="10"/>
  <c r="AM28" i="10"/>
  <c r="AE28" i="10"/>
  <c r="AE23" i="10"/>
  <c r="AE18" i="10"/>
  <c r="AE3" i="10"/>
  <c r="O3" i="10"/>
  <c r="G23" i="10"/>
  <c r="W41" i="3"/>
  <c r="O51" i="3"/>
  <c r="O31" i="3"/>
  <c r="G46" i="3"/>
  <c r="G36" i="3"/>
  <c r="AE7" i="3"/>
  <c r="AE2" i="3"/>
  <c r="W7" i="3"/>
  <c r="O2" i="3"/>
  <c r="G22" i="3"/>
  <c r="G17" i="3"/>
  <c r="G12" i="3"/>
  <c r="G2" i="3"/>
  <c r="F2" i="1"/>
  <c r="E2" i="1"/>
  <c r="AD46" i="1" l="1"/>
  <c r="AC46" i="1"/>
  <c r="AD41" i="1"/>
  <c r="AC41" i="1"/>
  <c r="AD36" i="1"/>
  <c r="AC36" i="1"/>
  <c r="AD31" i="1"/>
  <c r="AC31" i="1"/>
  <c r="V46" i="1"/>
  <c r="U46" i="1"/>
  <c r="W46" i="1" s="1"/>
  <c r="V41" i="1"/>
  <c r="U41" i="1"/>
  <c r="V36" i="1"/>
  <c r="W36" i="1" s="1"/>
  <c r="U36" i="1"/>
  <c r="V31" i="1"/>
  <c r="W31" i="1" s="1"/>
  <c r="U31" i="1"/>
  <c r="F51" i="1"/>
  <c r="E51" i="1"/>
  <c r="F46" i="1"/>
  <c r="E46" i="1"/>
  <c r="F41" i="1"/>
  <c r="E41" i="1"/>
  <c r="F36" i="1"/>
  <c r="F31" i="1"/>
  <c r="E36" i="1"/>
  <c r="E31" i="1"/>
  <c r="N31" i="1"/>
  <c r="N51" i="1"/>
  <c r="M51" i="1"/>
  <c r="N46" i="1"/>
  <c r="O46" i="1" s="1"/>
  <c r="M46" i="1"/>
  <c r="N41" i="1"/>
  <c r="M41" i="1"/>
  <c r="N36" i="1"/>
  <c r="M36" i="1"/>
  <c r="M31" i="1"/>
  <c r="AD17" i="1"/>
  <c r="AC17" i="1"/>
  <c r="AD12" i="1"/>
  <c r="AC12" i="1"/>
  <c r="AD7" i="1"/>
  <c r="AC7" i="1"/>
  <c r="AD2" i="1"/>
  <c r="AC2" i="1"/>
  <c r="G41" i="1" l="1"/>
  <c r="G46" i="1"/>
  <c r="G36" i="1"/>
  <c r="AE46" i="1"/>
  <c r="AE41" i="1"/>
  <c r="AE36" i="1"/>
  <c r="AE31" i="1"/>
  <c r="W41" i="1"/>
  <c r="G51" i="1"/>
  <c r="G31" i="1"/>
  <c r="O51" i="1"/>
  <c r="O41" i="1"/>
  <c r="O36" i="1"/>
  <c r="O31" i="1"/>
  <c r="V17" i="1"/>
  <c r="U17" i="1"/>
  <c r="W17" i="1" s="1"/>
  <c r="M17" i="1"/>
  <c r="V12" i="1"/>
  <c r="U12" i="1"/>
  <c r="V7" i="1"/>
  <c r="U7" i="1"/>
  <c r="V2" i="1"/>
  <c r="U2" i="1"/>
  <c r="N22" i="1"/>
  <c r="M22" i="1"/>
  <c r="N17" i="1"/>
  <c r="N12" i="1"/>
  <c r="M12" i="1"/>
  <c r="N7" i="1"/>
  <c r="M7" i="1"/>
  <c r="N2" i="1"/>
  <c r="O2" i="1" s="1"/>
  <c r="M2" i="1"/>
  <c r="F22" i="1"/>
  <c r="E22" i="1"/>
  <c r="F17" i="1"/>
  <c r="E17" i="1"/>
  <c r="G17" i="1" s="1"/>
  <c r="F12" i="1"/>
  <c r="G12" i="1" s="1"/>
  <c r="E12" i="1"/>
  <c r="AE17" i="1"/>
  <c r="AE12" i="1"/>
  <c r="AE7" i="1"/>
  <c r="AE2" i="1"/>
  <c r="F7" i="1"/>
  <c r="G7" i="1" s="1"/>
  <c r="E7" i="1"/>
  <c r="G2" i="1"/>
  <c r="W2" i="1" l="1"/>
  <c r="O22" i="1"/>
  <c r="W12" i="1"/>
  <c r="W7" i="1"/>
  <c r="O17" i="1"/>
  <c r="O12" i="1"/>
  <c r="O7" i="1"/>
  <c r="G22" i="1"/>
</calcChain>
</file>

<file path=xl/sharedStrings.xml><?xml version="1.0" encoding="utf-8"?>
<sst xmlns="http://schemas.openxmlformats.org/spreadsheetml/2006/main" count="1780" uniqueCount="168">
  <si>
    <t>Test Date</t>
  </si>
  <si>
    <t>L</t>
  </si>
  <si>
    <t>R</t>
  </si>
  <si>
    <t>avg_L</t>
  </si>
  <si>
    <t>avg_R</t>
  </si>
  <si>
    <t>R/L</t>
  </si>
  <si>
    <t>MouseID</t>
  </si>
  <si>
    <t>847-M1</t>
  </si>
  <si>
    <t>847-M2</t>
  </si>
  <si>
    <t>847-M3</t>
  </si>
  <si>
    <t>847-M4</t>
  </si>
  <si>
    <t>847-M5</t>
  </si>
  <si>
    <t>846-M1</t>
  </si>
  <si>
    <t>846-M2</t>
  </si>
  <si>
    <t>846-M3</t>
  </si>
  <si>
    <t>846-M4</t>
  </si>
  <si>
    <t>846-M5</t>
  </si>
  <si>
    <t>849-M1</t>
  </si>
  <si>
    <t>849-M2</t>
  </si>
  <si>
    <t>849-M3</t>
  </si>
  <si>
    <t>849-M4</t>
  </si>
  <si>
    <t>848-M1</t>
  </si>
  <si>
    <t>848-M2</t>
  </si>
  <si>
    <t>848-M3</t>
  </si>
  <si>
    <t>848-M4</t>
  </si>
  <si>
    <t>850-F1</t>
  </si>
  <si>
    <t>850-F2</t>
  </si>
  <si>
    <t>850-F3</t>
  </si>
  <si>
    <t>850-F4</t>
  </si>
  <si>
    <t>850-F5</t>
  </si>
  <si>
    <t>851-F1</t>
  </si>
  <si>
    <t>851-F2</t>
  </si>
  <si>
    <t>851-F3</t>
  </si>
  <si>
    <t>851-F4</t>
  </si>
  <si>
    <t>851-F5</t>
  </si>
  <si>
    <t>852-F1</t>
  </si>
  <si>
    <t>852-F2</t>
  </si>
  <si>
    <t>852-F3</t>
  </si>
  <si>
    <t>852-F4</t>
  </si>
  <si>
    <t>853-F1</t>
  </si>
  <si>
    <t>853-F2</t>
  </si>
  <si>
    <t>853-F3</t>
  </si>
  <si>
    <t>853-F4</t>
  </si>
  <si>
    <t>Mouse</t>
  </si>
  <si>
    <t>Date</t>
  </si>
  <si>
    <t>S</t>
  </si>
  <si>
    <t>Weight</t>
  </si>
  <si>
    <t>Start</t>
  </si>
  <si>
    <t>End</t>
  </si>
  <si>
    <t>Note</t>
  </si>
  <si>
    <t>M</t>
  </si>
  <si>
    <t>T</t>
  </si>
  <si>
    <t>W</t>
  </si>
  <si>
    <t>Th</t>
  </si>
  <si>
    <t>F</t>
  </si>
  <si>
    <t>18F18M arrive</t>
  </si>
  <si>
    <t>Dec</t>
  </si>
  <si>
    <t>Jan</t>
  </si>
  <si>
    <t>Pre-SNI VF test (12)</t>
  </si>
  <si>
    <t>SNI Surgery (9)</t>
  </si>
  <si>
    <t>SNI Surgery (11)</t>
  </si>
  <si>
    <t>SNI Surgery (16)</t>
  </si>
  <si>
    <t>Staple remove</t>
  </si>
  <si>
    <t>Staple remove + Post-SNI VF test (9)</t>
  </si>
  <si>
    <t>Staple remove + Post-SNI VF test (10)</t>
  </si>
  <si>
    <t>Feb</t>
  </si>
  <si>
    <t>Mar</t>
  </si>
  <si>
    <t>VF</t>
  </si>
  <si>
    <t>Apr</t>
  </si>
  <si>
    <t>May</t>
  </si>
  <si>
    <t>Jun</t>
  </si>
  <si>
    <t>SNI</t>
  </si>
  <si>
    <t>SNI (3F3M)</t>
  </si>
  <si>
    <t>How to make loperimide and fenobam?</t>
  </si>
  <si>
    <t>Drug prep</t>
  </si>
  <si>
    <t>Order 12 mice (rPR_analgesic1)</t>
  </si>
  <si>
    <t>Confirm drug and dosage</t>
  </si>
  <si>
    <t>Run small  cohort of FED on free feeding with activity monitor</t>
  </si>
  <si>
    <t>Post-SNI VF test (16)</t>
  </si>
  <si>
    <t>Order 8-10 mice (rPR_Halo3)</t>
  </si>
  <si>
    <t>Analgesic Screening</t>
  </si>
  <si>
    <t>rPR_Halo2</t>
  </si>
  <si>
    <t>rPR_Halo3</t>
  </si>
  <si>
    <t>rPR_analgesic1</t>
  </si>
  <si>
    <t>rPR_analgesic2</t>
  </si>
  <si>
    <t>rPR_analgesic3</t>
  </si>
  <si>
    <t># of mouse</t>
  </si>
  <si>
    <t>Start Date</t>
  </si>
  <si>
    <t>Order Mice Date</t>
  </si>
  <si>
    <t>End Date</t>
  </si>
  <si>
    <t>18F18M</t>
  </si>
  <si>
    <t>2F6M</t>
  </si>
  <si>
    <t>4F4M or 5F5M</t>
  </si>
  <si>
    <t>3F3M (Ctrl &amp; SNI)</t>
  </si>
  <si>
    <t>Prep FED*8 + Bring mice up</t>
  </si>
  <si>
    <t>Start rPR_Halo2</t>
  </si>
  <si>
    <t>VEH inj 1</t>
  </si>
  <si>
    <t>VEH inj 2</t>
  </si>
  <si>
    <t>Drug inj 1</t>
  </si>
  <si>
    <t>Drug inj 2</t>
  </si>
  <si>
    <t>Age</t>
  </si>
  <si>
    <t>10-12 w</t>
  </si>
  <si>
    <t>rPR_Halo2 done</t>
  </si>
  <si>
    <t>(Buffer)</t>
  </si>
  <si>
    <t>Prep FED*12</t>
  </si>
  <si>
    <t>Start rPR_Halo3</t>
  </si>
  <si>
    <t>7 w</t>
  </si>
  <si>
    <t>Start rPR_analgesic1</t>
  </si>
  <si>
    <t>Done</t>
  </si>
  <si>
    <t>Order 12 mice (rPR_analgesic2)</t>
  </si>
  <si>
    <t>Start rPR_analgesic2</t>
  </si>
  <si>
    <t>Start rPR_analgesic3</t>
  </si>
  <si>
    <t>Order 12 mice (rPR_analgesic3)</t>
  </si>
  <si>
    <t>12/26/23-12/28/23</t>
  </si>
  <si>
    <t>(Thesis update day?)</t>
  </si>
  <si>
    <t>Jul</t>
  </si>
  <si>
    <t>Send survey for thesis update date</t>
  </si>
  <si>
    <t>Thesis update</t>
  </si>
  <si>
    <t>Send follow-up email</t>
  </si>
  <si>
    <t>Send confirmation &amp; book a room</t>
  </si>
  <si>
    <t>Mice ID</t>
  </si>
  <si>
    <t>Cohort</t>
  </si>
  <si>
    <t>DoB</t>
  </si>
  <si>
    <t>Genotype</t>
  </si>
  <si>
    <t>Sex</t>
  </si>
  <si>
    <t>Group</t>
  </si>
  <si>
    <t>Surgery Type</t>
  </si>
  <si>
    <t>Surgery Date</t>
  </si>
  <si>
    <t>Analgesic_Screening</t>
  </si>
  <si>
    <t>WT</t>
  </si>
  <si>
    <t>Strain</t>
  </si>
  <si>
    <t>C57BL/6J</t>
  </si>
  <si>
    <t>Behavior</t>
  </si>
  <si>
    <t>von Frey</t>
  </si>
  <si>
    <t>BL (pre-SNI)</t>
  </si>
  <si>
    <t xml:space="preserve">Age </t>
  </si>
  <si>
    <t xml:space="preserve">Duration </t>
  </si>
  <si>
    <t>Post-SNI</t>
  </si>
  <si>
    <t>Vehicle</t>
  </si>
  <si>
    <t>Loperimide</t>
  </si>
  <si>
    <t>Fenobam</t>
  </si>
  <si>
    <t>Exp Type</t>
  </si>
  <si>
    <t>Exp Description</t>
  </si>
  <si>
    <t>A</t>
  </si>
  <si>
    <t>B</t>
  </si>
  <si>
    <t>C</t>
  </si>
  <si>
    <t>D</t>
  </si>
  <si>
    <t>E</t>
  </si>
  <si>
    <t>G</t>
  </si>
  <si>
    <t>Male</t>
  </si>
  <si>
    <t>Female</t>
  </si>
  <si>
    <t>Dead after sugery</t>
  </si>
  <si>
    <t>1st Injection</t>
  </si>
  <si>
    <t>Make Fenobam and test food intake over 24hr</t>
  </si>
  <si>
    <t>Vehicle A</t>
  </si>
  <si>
    <t>Vehicle B</t>
  </si>
  <si>
    <t>Loperamide</t>
  </si>
  <si>
    <t>Metformin</t>
  </si>
  <si>
    <t>s.c. Saline</t>
  </si>
  <si>
    <t>i.p. Saline</t>
  </si>
  <si>
    <t>Version 1</t>
  </si>
  <si>
    <t>rPR_Halo3 Done</t>
  </si>
  <si>
    <t>Cohort A</t>
  </si>
  <si>
    <t>Cohort B</t>
  </si>
  <si>
    <t>Cohort C</t>
  </si>
  <si>
    <t>Cohort D</t>
  </si>
  <si>
    <t>Cohort E</t>
  </si>
  <si>
    <t>Cohort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</si>
</sst>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theme="4"/>
      <name val="Arial"/>
      <family val="2"/>
    </font>
    <font>
      <sz val="12"/>
      <color theme="7" tint="-0.249977111117893"/>
      <name val="Arial"/>
      <family val="2"/>
    </font>
    <font>
      <sz val="12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A568"/>
        <bgColor indexed="64"/>
      </patternFill>
    </fill>
    <fill>
      <patternFill patternType="solid">
        <fgColor rgb="FFFAEED1"/>
        <bgColor indexed="64"/>
      </patternFill>
    </fill>
    <fill>
      <patternFill patternType="solid">
        <fgColor rgb="FFDED0B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5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A568"/>
      <color rgb="FFDED0B6"/>
      <color rgb="FFFAEED1"/>
      <color rgb="FFFDF7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812C-3685-2E46-9FA9-979B6CCA821F}">
  <dimension ref="A1:S130"/>
  <sheetViews>
    <sheetView zoomScale="81" workbookViewId="0">
      <selection activeCell="K13" sqref="K13"/>
    </sheetView>
  </sheetViews>
  <sheetFormatPr defaultColWidth="10.875" defaultRowHeight="15.75" x14ac:dyDescent="0.25"/>
  <cols>
    <col min="1" max="9" width="10.875" style="8"/>
    <col min="10" max="10" width="21.875" style="8" customWidth="1"/>
    <col min="11" max="11" width="20" style="9" customWidth="1"/>
    <col min="12" max="12" width="15.625" style="9" bestFit="1" customWidth="1"/>
    <col min="13" max="13" width="16.875" style="9" customWidth="1"/>
    <col min="14" max="14" width="10.875" style="9"/>
    <col min="15" max="15" width="17.375" style="9" bestFit="1" customWidth="1"/>
    <col min="16" max="19" width="10.875" style="9"/>
    <col min="20" max="16384" width="10.875" style="8"/>
  </cols>
  <sheetData>
    <row r="1" spans="1:17" x14ac:dyDescent="0.25">
      <c r="L1" s="9" t="s">
        <v>86</v>
      </c>
      <c r="M1" s="9" t="s">
        <v>88</v>
      </c>
      <c r="N1" s="9" t="s">
        <v>100</v>
      </c>
      <c r="O1" s="9" t="s">
        <v>71</v>
      </c>
      <c r="P1" s="9" t="s">
        <v>87</v>
      </c>
      <c r="Q1" s="9" t="s">
        <v>89</v>
      </c>
    </row>
    <row r="2" spans="1:17" x14ac:dyDescent="0.25">
      <c r="B2" s="8" t="s">
        <v>45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45</v>
      </c>
      <c r="K2" s="12" t="s">
        <v>80</v>
      </c>
      <c r="L2" s="9" t="s">
        <v>90</v>
      </c>
      <c r="O2" s="9" t="s">
        <v>113</v>
      </c>
      <c r="P2" s="11">
        <v>45279</v>
      </c>
    </row>
    <row r="3" spans="1:17" x14ac:dyDescent="0.25">
      <c r="A3" s="27" t="s">
        <v>56</v>
      </c>
      <c r="B3" s="23">
        <v>17</v>
      </c>
      <c r="C3" s="23">
        <v>18</v>
      </c>
      <c r="D3" s="23">
        <v>19</v>
      </c>
      <c r="E3" s="23">
        <v>20</v>
      </c>
      <c r="F3" s="23">
        <v>21</v>
      </c>
      <c r="G3" s="23">
        <v>22</v>
      </c>
      <c r="H3" s="23">
        <v>23</v>
      </c>
      <c r="K3" s="13" t="s">
        <v>81</v>
      </c>
      <c r="L3" s="9" t="s">
        <v>91</v>
      </c>
      <c r="P3" s="11">
        <v>45296</v>
      </c>
      <c r="Q3" s="11">
        <v>45309</v>
      </c>
    </row>
    <row r="4" spans="1:17" ht="48.95" customHeight="1" x14ac:dyDescent="0.25">
      <c r="A4" s="27"/>
      <c r="C4" s="18" t="s">
        <v>55</v>
      </c>
      <c r="D4" s="18" t="s">
        <v>58</v>
      </c>
      <c r="E4" s="18" t="s">
        <v>58</v>
      </c>
      <c r="F4" s="18" t="s">
        <v>58</v>
      </c>
      <c r="G4" s="18"/>
      <c r="H4" s="18"/>
      <c r="K4" s="17" t="s">
        <v>82</v>
      </c>
      <c r="L4" s="10" t="s">
        <v>92</v>
      </c>
      <c r="M4" s="11">
        <v>45299</v>
      </c>
      <c r="N4" s="9" t="s">
        <v>101</v>
      </c>
      <c r="P4" s="11">
        <v>45315</v>
      </c>
      <c r="Q4" s="11">
        <v>45331</v>
      </c>
    </row>
    <row r="5" spans="1:17" x14ac:dyDescent="0.25">
      <c r="A5" s="27"/>
      <c r="K5" s="14" t="s">
        <v>83</v>
      </c>
      <c r="L5" s="9" t="s">
        <v>93</v>
      </c>
      <c r="M5" s="11">
        <v>45299</v>
      </c>
      <c r="N5" s="9" t="s">
        <v>106</v>
      </c>
      <c r="O5" s="11">
        <v>45316</v>
      </c>
      <c r="P5" s="11">
        <v>45359</v>
      </c>
    </row>
    <row r="6" spans="1:17" x14ac:dyDescent="0.25">
      <c r="A6" s="27"/>
      <c r="K6" s="15" t="s">
        <v>84</v>
      </c>
      <c r="L6" s="9" t="s">
        <v>93</v>
      </c>
      <c r="M6" s="11">
        <v>45341</v>
      </c>
      <c r="N6" s="9" t="s">
        <v>106</v>
      </c>
      <c r="O6" s="11">
        <v>45355</v>
      </c>
      <c r="P6" s="11">
        <v>45394</v>
      </c>
    </row>
    <row r="7" spans="1:17" x14ac:dyDescent="0.25">
      <c r="A7" s="27"/>
      <c r="K7" s="16" t="s">
        <v>85</v>
      </c>
      <c r="L7" s="9" t="s">
        <v>93</v>
      </c>
      <c r="M7" s="11">
        <v>45362</v>
      </c>
      <c r="N7" s="9" t="s">
        <v>106</v>
      </c>
      <c r="O7" s="11">
        <v>45370</v>
      </c>
      <c r="P7" s="11">
        <v>45412</v>
      </c>
    </row>
    <row r="8" spans="1:17" x14ac:dyDescent="0.25">
      <c r="A8" s="27"/>
      <c r="B8" s="23">
        <v>24</v>
      </c>
      <c r="C8" s="23">
        <v>25</v>
      </c>
      <c r="D8" s="23">
        <v>26</v>
      </c>
      <c r="E8" s="23">
        <v>27</v>
      </c>
      <c r="F8" s="23">
        <v>28</v>
      </c>
      <c r="G8" s="23">
        <v>29</v>
      </c>
      <c r="H8" s="23">
        <v>30</v>
      </c>
      <c r="K8" s="25" t="s">
        <v>117</v>
      </c>
      <c r="L8" s="8"/>
    </row>
    <row r="9" spans="1:17" ht="48.95" customHeight="1" x14ac:dyDescent="0.25">
      <c r="A9" s="27"/>
      <c r="B9" s="18"/>
      <c r="C9" s="18"/>
      <c r="D9" s="18" t="s">
        <v>59</v>
      </c>
      <c r="E9" s="18" t="s">
        <v>60</v>
      </c>
      <c r="F9" s="18" t="s">
        <v>61</v>
      </c>
      <c r="G9" s="18"/>
      <c r="H9" s="18"/>
    </row>
    <row r="10" spans="1:17" x14ac:dyDescent="0.25">
      <c r="A10" s="27"/>
    </row>
    <row r="11" spans="1:17" x14ac:dyDescent="0.25">
      <c r="A11" s="27"/>
    </row>
    <row r="12" spans="1:17" x14ac:dyDescent="0.25">
      <c r="A12" s="27"/>
    </row>
    <row r="13" spans="1:17" x14ac:dyDescent="0.25">
      <c r="A13" s="26" t="s">
        <v>57</v>
      </c>
      <c r="B13" s="23">
        <v>31</v>
      </c>
      <c r="C13" s="23">
        <v>1</v>
      </c>
      <c r="D13" s="23">
        <v>2</v>
      </c>
      <c r="E13" s="23">
        <v>3</v>
      </c>
      <c r="F13" s="23">
        <v>4</v>
      </c>
      <c r="G13" s="23">
        <v>5</v>
      </c>
      <c r="H13" s="23">
        <v>6</v>
      </c>
      <c r="K13" s="9" t="s">
        <v>73</v>
      </c>
    </row>
    <row r="14" spans="1:17" ht="63" x14ac:dyDescent="0.25">
      <c r="A14" s="26"/>
      <c r="B14" s="18"/>
      <c r="C14" s="18"/>
      <c r="D14" s="18" t="s">
        <v>62</v>
      </c>
      <c r="E14" s="18" t="s">
        <v>63</v>
      </c>
      <c r="F14" s="18" t="s">
        <v>64</v>
      </c>
      <c r="G14" s="18" t="s">
        <v>78</v>
      </c>
      <c r="H14" s="18"/>
    </row>
    <row r="15" spans="1:17" ht="50.1" customHeight="1" x14ac:dyDescent="0.25">
      <c r="A15" s="26"/>
      <c r="D15" s="19" t="s">
        <v>94</v>
      </c>
      <c r="E15" s="19"/>
      <c r="F15" s="19"/>
      <c r="G15" s="19" t="s">
        <v>95</v>
      </c>
      <c r="H15" s="19"/>
    </row>
    <row r="16" spans="1:17" x14ac:dyDescent="0.25">
      <c r="A16" s="26"/>
    </row>
    <row r="17" spans="1:17" x14ac:dyDescent="0.25">
      <c r="A17" s="26"/>
      <c r="B17" s="23">
        <v>7</v>
      </c>
      <c r="C17" s="23">
        <v>8</v>
      </c>
      <c r="D17" s="23">
        <v>9</v>
      </c>
      <c r="E17" s="23">
        <v>10</v>
      </c>
      <c r="F17" s="23">
        <v>11</v>
      </c>
      <c r="G17" s="23">
        <v>12</v>
      </c>
      <c r="H17" s="23">
        <v>13</v>
      </c>
    </row>
    <row r="18" spans="1:17" x14ac:dyDescent="0.25">
      <c r="A18" s="26"/>
      <c r="B18" s="18"/>
      <c r="C18" s="18"/>
      <c r="D18" s="18"/>
      <c r="E18" s="18"/>
      <c r="F18" s="18"/>
      <c r="G18" s="18"/>
      <c r="H18" s="18"/>
    </row>
    <row r="19" spans="1:17" x14ac:dyDescent="0.25">
      <c r="A19" s="26"/>
      <c r="B19" s="19"/>
      <c r="C19" s="19"/>
      <c r="D19" s="19"/>
      <c r="E19" s="19"/>
      <c r="F19" s="19"/>
      <c r="G19" s="19"/>
      <c r="H19" s="19"/>
    </row>
    <row r="20" spans="1:17" ht="48.95" customHeight="1" x14ac:dyDescent="0.25">
      <c r="A20" s="26"/>
      <c r="C20" s="20" t="s">
        <v>79</v>
      </c>
    </row>
    <row r="21" spans="1:17" ht="63" x14ac:dyDescent="0.25">
      <c r="A21" s="26"/>
      <c r="C21" s="21" t="s">
        <v>75</v>
      </c>
    </row>
    <row r="22" spans="1:17" x14ac:dyDescent="0.25">
      <c r="A22" s="26"/>
      <c r="B22" s="23">
        <v>14</v>
      </c>
      <c r="C22" s="23">
        <v>15</v>
      </c>
      <c r="D22" s="23">
        <v>16</v>
      </c>
      <c r="E22" s="23">
        <v>17</v>
      </c>
      <c r="F22" s="23">
        <v>18</v>
      </c>
      <c r="G22" s="23">
        <v>19</v>
      </c>
      <c r="H22" s="23">
        <v>20</v>
      </c>
    </row>
    <row r="23" spans="1:17" x14ac:dyDescent="0.25">
      <c r="A23" s="26"/>
      <c r="B23" s="18"/>
      <c r="C23" s="18"/>
      <c r="D23" s="18"/>
      <c r="E23" s="18"/>
      <c r="F23" s="18"/>
      <c r="G23" s="18"/>
      <c r="H23" s="18"/>
    </row>
    <row r="24" spans="1:17" ht="48.95" customHeight="1" x14ac:dyDescent="0.25">
      <c r="A24" s="26"/>
      <c r="B24" s="19" t="s">
        <v>96</v>
      </c>
      <c r="C24" s="19" t="s">
        <v>97</v>
      </c>
      <c r="D24" s="19" t="s">
        <v>98</v>
      </c>
      <c r="E24" s="19" t="s">
        <v>99</v>
      </c>
      <c r="F24" s="19" t="s">
        <v>102</v>
      </c>
      <c r="G24" s="19" t="s">
        <v>103</v>
      </c>
      <c r="H24" s="19" t="s">
        <v>103</v>
      </c>
      <c r="J24" s="8" t="s">
        <v>153</v>
      </c>
    </row>
    <row r="25" spans="1:17" x14ac:dyDescent="0.25">
      <c r="A25" s="26"/>
    </row>
    <row r="26" spans="1:17" x14ac:dyDescent="0.25">
      <c r="A26" s="26"/>
    </row>
    <row r="27" spans="1:17" x14ac:dyDescent="0.25">
      <c r="A27" s="26"/>
      <c r="B27" s="23">
        <v>21</v>
      </c>
      <c r="C27" s="23">
        <v>22</v>
      </c>
      <c r="D27" s="23">
        <v>23</v>
      </c>
      <c r="E27" s="23">
        <v>24</v>
      </c>
      <c r="F27" s="23">
        <v>25</v>
      </c>
      <c r="G27" s="23">
        <v>26</v>
      </c>
      <c r="H27" s="23">
        <v>27</v>
      </c>
    </row>
    <row r="28" spans="1:17" x14ac:dyDescent="0.25">
      <c r="A28" s="26"/>
      <c r="B28" s="18"/>
      <c r="C28" s="18"/>
      <c r="D28" s="18"/>
      <c r="E28" s="18"/>
      <c r="F28" s="18"/>
      <c r="G28" s="18"/>
      <c r="H28" s="18"/>
    </row>
    <row r="29" spans="1:17" ht="47.1" customHeight="1" x14ac:dyDescent="0.25">
      <c r="A29" s="26"/>
      <c r="B29" s="19" t="s">
        <v>103</v>
      </c>
      <c r="C29" s="20" t="s">
        <v>104</v>
      </c>
      <c r="D29" s="20"/>
      <c r="E29" s="20"/>
      <c r="F29" s="20"/>
      <c r="G29" s="20" t="s">
        <v>105</v>
      </c>
      <c r="H29" s="20"/>
    </row>
    <row r="30" spans="1:17" ht="54" customHeight="1" x14ac:dyDescent="0.25">
      <c r="A30" s="26"/>
      <c r="F30" s="21" t="s">
        <v>72</v>
      </c>
    </row>
    <row r="31" spans="1:17" x14ac:dyDescent="0.25">
      <c r="A31" s="27" t="s">
        <v>65</v>
      </c>
      <c r="B31" s="23">
        <v>28</v>
      </c>
      <c r="C31" s="23">
        <v>29</v>
      </c>
      <c r="D31" s="23">
        <v>30</v>
      </c>
      <c r="E31" s="23">
        <v>31</v>
      </c>
      <c r="F31" s="23">
        <v>1</v>
      </c>
      <c r="G31" s="23">
        <v>2</v>
      </c>
      <c r="H31" s="23">
        <v>3</v>
      </c>
      <c r="K31" s="28"/>
      <c r="L31" s="28"/>
      <c r="M31" s="28"/>
      <c r="N31" s="28"/>
      <c r="O31" s="28"/>
      <c r="P31" s="28"/>
      <c r="Q31" s="28"/>
    </row>
    <row r="32" spans="1:17" ht="30" customHeight="1" x14ac:dyDescent="0.25">
      <c r="A32" s="27"/>
      <c r="B32" s="18"/>
      <c r="C32" s="18"/>
      <c r="D32" s="18"/>
      <c r="E32" s="18"/>
      <c r="F32" s="18"/>
      <c r="G32" s="18" t="s">
        <v>74</v>
      </c>
      <c r="H32" s="18"/>
      <c r="K32" s="28"/>
      <c r="L32" s="28"/>
      <c r="M32" s="28"/>
      <c r="N32" s="28"/>
      <c r="O32" s="28"/>
      <c r="P32" s="28"/>
      <c r="Q32" s="28"/>
    </row>
    <row r="33" spans="1:17" ht="48.95" customHeight="1" x14ac:dyDescent="0.25">
      <c r="A33" s="27"/>
      <c r="B33" s="20"/>
      <c r="C33" s="20"/>
      <c r="D33" s="20"/>
      <c r="E33" s="20"/>
      <c r="F33" s="20"/>
      <c r="G33" s="20"/>
      <c r="H33" s="20"/>
      <c r="K33" s="28"/>
      <c r="L33" s="28"/>
      <c r="M33" s="28"/>
      <c r="N33" s="28"/>
      <c r="O33" s="28"/>
      <c r="P33" s="28"/>
      <c r="Q33" s="28"/>
    </row>
    <row r="34" spans="1:17" ht="31.5" x14ac:dyDescent="0.25">
      <c r="A34" s="27"/>
      <c r="F34" s="21" t="s">
        <v>62</v>
      </c>
      <c r="G34" s="21" t="s">
        <v>67</v>
      </c>
      <c r="K34" s="28"/>
      <c r="L34" s="28"/>
      <c r="M34" s="28"/>
      <c r="N34" s="28"/>
      <c r="O34" s="28"/>
      <c r="P34" s="28"/>
      <c r="Q34" s="28"/>
    </row>
    <row r="35" spans="1:17" x14ac:dyDescent="0.25">
      <c r="A35" s="27"/>
      <c r="B35" s="23">
        <v>4</v>
      </c>
      <c r="C35" s="23">
        <v>5</v>
      </c>
      <c r="D35" s="23">
        <v>6</v>
      </c>
      <c r="E35" s="23">
        <v>7</v>
      </c>
      <c r="F35" s="23">
        <v>8</v>
      </c>
      <c r="G35" s="23">
        <v>9</v>
      </c>
      <c r="H35" s="23">
        <v>10</v>
      </c>
      <c r="K35" s="28"/>
      <c r="L35" s="28"/>
      <c r="M35" s="28"/>
      <c r="N35" s="28"/>
      <c r="O35" s="28"/>
      <c r="P35" s="28"/>
      <c r="Q35" s="28"/>
    </row>
    <row r="36" spans="1:17" ht="48" customHeight="1" x14ac:dyDescent="0.25">
      <c r="A36" s="27"/>
      <c r="B36" s="18"/>
      <c r="C36" s="18" t="s">
        <v>67</v>
      </c>
      <c r="D36" s="18"/>
      <c r="E36" s="18" t="s">
        <v>67</v>
      </c>
      <c r="F36" s="18"/>
      <c r="G36" s="18" t="s">
        <v>67</v>
      </c>
      <c r="H36" s="18"/>
      <c r="K36" s="28"/>
      <c r="L36" s="49"/>
      <c r="M36" s="28"/>
      <c r="N36" s="49"/>
      <c r="O36" s="28"/>
      <c r="P36" s="48"/>
      <c r="Q36" s="1"/>
    </row>
    <row r="37" spans="1:17" ht="48.95" customHeight="1" x14ac:dyDescent="0.25">
      <c r="A37" s="27"/>
      <c r="B37" s="20" t="s">
        <v>96</v>
      </c>
      <c r="C37" s="20" t="s">
        <v>97</v>
      </c>
      <c r="D37" s="20" t="s">
        <v>98</v>
      </c>
      <c r="E37" s="20" t="s">
        <v>99</v>
      </c>
      <c r="F37" s="20" t="s">
        <v>161</v>
      </c>
      <c r="G37" s="20" t="s">
        <v>103</v>
      </c>
      <c r="K37" s="28"/>
      <c r="L37" s="49"/>
      <c r="M37" s="28"/>
      <c r="N37" s="48"/>
      <c r="O37" s="28"/>
      <c r="P37" s="48"/>
      <c r="Q37" s="1"/>
    </row>
    <row r="38" spans="1:17" x14ac:dyDescent="0.25">
      <c r="A38" s="27"/>
      <c r="K38" s="28"/>
      <c r="L38" s="48"/>
      <c r="M38" s="28"/>
      <c r="N38" s="48"/>
      <c r="O38" s="28"/>
      <c r="P38" s="48"/>
      <c r="Q38" s="1"/>
    </row>
    <row r="39" spans="1:17" x14ac:dyDescent="0.25">
      <c r="A39" s="27"/>
      <c r="B39" s="23">
        <v>11</v>
      </c>
      <c r="C39" s="23">
        <v>12</v>
      </c>
      <c r="D39" s="23">
        <v>13</v>
      </c>
      <c r="E39" s="23">
        <v>14</v>
      </c>
      <c r="F39" s="23">
        <v>15</v>
      </c>
      <c r="G39" s="23">
        <v>16</v>
      </c>
      <c r="H39" s="23">
        <v>17</v>
      </c>
      <c r="K39" s="28"/>
      <c r="L39" s="28"/>
      <c r="M39" s="28"/>
      <c r="N39" s="28"/>
      <c r="O39" s="28"/>
      <c r="P39" s="28"/>
      <c r="Q39" s="28"/>
    </row>
    <row r="40" spans="1:17" ht="48" customHeight="1" x14ac:dyDescent="0.25">
      <c r="A40" s="27"/>
      <c r="B40" s="18"/>
      <c r="C40" s="18" t="s">
        <v>67</v>
      </c>
      <c r="D40" s="18"/>
      <c r="E40" s="18" t="s">
        <v>67</v>
      </c>
      <c r="F40" s="18"/>
      <c r="G40" s="18" t="s">
        <v>67</v>
      </c>
      <c r="H40" s="18"/>
      <c r="K40" s="28"/>
      <c r="L40" s="49"/>
      <c r="M40" s="52"/>
      <c r="N40" s="49"/>
      <c r="O40" s="52"/>
      <c r="P40" s="48"/>
      <c r="Q40" s="28"/>
    </row>
    <row r="41" spans="1:17" x14ac:dyDescent="0.25">
      <c r="A41" s="27"/>
      <c r="K41" s="28"/>
      <c r="L41" s="49"/>
      <c r="M41" s="52"/>
      <c r="N41" s="48"/>
      <c r="O41" s="52"/>
      <c r="P41" s="48"/>
      <c r="Q41" s="28"/>
    </row>
    <row r="42" spans="1:17" ht="51.95" customHeight="1" x14ac:dyDescent="0.25">
      <c r="A42" s="27"/>
      <c r="K42" s="28"/>
      <c r="L42" s="49"/>
      <c r="M42" s="52"/>
      <c r="N42" s="49"/>
      <c r="O42" s="52"/>
      <c r="P42" s="49"/>
      <c r="Q42" s="28"/>
    </row>
    <row r="43" spans="1:17" x14ac:dyDescent="0.25">
      <c r="A43" s="27"/>
      <c r="B43" s="23">
        <v>18</v>
      </c>
      <c r="C43" s="23">
        <v>19</v>
      </c>
      <c r="D43" s="23">
        <v>20</v>
      </c>
      <c r="E43" s="23">
        <v>21</v>
      </c>
      <c r="F43" s="23">
        <v>22</v>
      </c>
      <c r="G43" s="23">
        <v>23</v>
      </c>
      <c r="H43" s="23">
        <v>24</v>
      </c>
      <c r="K43" s="28"/>
      <c r="L43" s="28"/>
      <c r="M43" s="28"/>
      <c r="N43" s="28"/>
      <c r="O43" s="28"/>
      <c r="P43" s="28"/>
      <c r="Q43" s="28"/>
    </row>
    <row r="44" spans="1:17" ht="48" customHeight="1" x14ac:dyDescent="0.25">
      <c r="A44" s="27"/>
      <c r="B44" s="18"/>
      <c r="C44" s="18" t="s">
        <v>67</v>
      </c>
      <c r="D44" s="18"/>
      <c r="E44" s="18" t="s">
        <v>67</v>
      </c>
      <c r="F44" s="18"/>
      <c r="G44" s="18" t="s">
        <v>67</v>
      </c>
      <c r="H44" s="18"/>
      <c r="K44" s="28"/>
      <c r="L44" s="28"/>
      <c r="M44" s="28"/>
      <c r="N44" s="28"/>
      <c r="O44" s="28"/>
      <c r="P44" s="28"/>
      <c r="Q44" s="28"/>
    </row>
    <row r="45" spans="1:17" x14ac:dyDescent="0.25">
      <c r="A45" s="27"/>
      <c r="K45" s="28"/>
      <c r="L45" s="49"/>
      <c r="M45" s="28"/>
      <c r="N45" s="48"/>
      <c r="O45" s="28"/>
      <c r="P45" s="49"/>
      <c r="Q45" s="28"/>
    </row>
    <row r="46" spans="1:17" ht="63" x14ac:dyDescent="0.25">
      <c r="A46" s="27"/>
      <c r="C46" s="22" t="s">
        <v>109</v>
      </c>
      <c r="K46" s="28"/>
      <c r="L46" s="49"/>
      <c r="M46" s="28"/>
      <c r="N46" s="48"/>
      <c r="O46" s="28"/>
      <c r="P46" s="49"/>
      <c r="Q46" s="28"/>
    </row>
    <row r="47" spans="1:17" x14ac:dyDescent="0.25">
      <c r="A47" s="26" t="s">
        <v>66</v>
      </c>
      <c r="B47" s="23">
        <v>25</v>
      </c>
      <c r="C47" s="23">
        <v>26</v>
      </c>
      <c r="D47" s="23">
        <v>27</v>
      </c>
      <c r="E47" s="23">
        <v>28</v>
      </c>
      <c r="F47" s="23">
        <v>29</v>
      </c>
      <c r="G47" s="23">
        <v>1</v>
      </c>
      <c r="H47" s="23">
        <v>2</v>
      </c>
      <c r="K47" s="28"/>
      <c r="L47" s="49"/>
      <c r="M47" s="28"/>
      <c r="N47" s="48"/>
      <c r="O47" s="28"/>
      <c r="P47" s="49"/>
      <c r="Q47" s="28"/>
    </row>
    <row r="48" spans="1:17" ht="48" customHeight="1" x14ac:dyDescent="0.25">
      <c r="A48" s="26"/>
      <c r="B48" s="18"/>
      <c r="C48" s="18" t="s">
        <v>67</v>
      </c>
      <c r="D48" s="18"/>
      <c r="E48" s="18" t="s">
        <v>67</v>
      </c>
      <c r="F48" s="18"/>
      <c r="G48" s="18" t="s">
        <v>67</v>
      </c>
      <c r="H48" s="18"/>
      <c r="K48" s="28"/>
      <c r="L48" s="28"/>
      <c r="M48" s="28"/>
      <c r="N48" s="28"/>
      <c r="O48" s="28"/>
      <c r="P48" s="28"/>
      <c r="Q48" s="28"/>
    </row>
    <row r="49" spans="1:17" x14ac:dyDescent="0.25">
      <c r="A49" s="26"/>
      <c r="K49" s="28"/>
      <c r="L49" s="28"/>
      <c r="M49" s="28"/>
      <c r="N49" s="28"/>
      <c r="O49" s="28"/>
      <c r="P49" s="28"/>
      <c r="Q49" s="28"/>
    </row>
    <row r="50" spans="1:17" x14ac:dyDescent="0.25">
      <c r="A50" s="26"/>
      <c r="K50" s="28"/>
      <c r="L50" s="48"/>
      <c r="M50" s="28"/>
      <c r="N50" s="28"/>
      <c r="O50" s="28"/>
      <c r="P50" s="28"/>
      <c r="Q50" s="28"/>
    </row>
    <row r="51" spans="1:17" x14ac:dyDescent="0.25">
      <c r="A51" s="26"/>
      <c r="B51" s="23">
        <v>3</v>
      </c>
      <c r="C51" s="23">
        <v>4</v>
      </c>
      <c r="D51" s="23">
        <v>5</v>
      </c>
      <c r="E51" s="23">
        <v>6</v>
      </c>
      <c r="F51" s="23">
        <v>7</v>
      </c>
      <c r="G51" s="23">
        <v>8</v>
      </c>
      <c r="H51" s="23">
        <v>9</v>
      </c>
      <c r="K51" s="28"/>
      <c r="L51" s="48"/>
      <c r="M51" s="28"/>
      <c r="N51" s="28"/>
      <c r="O51" s="28"/>
      <c r="P51" s="28"/>
      <c r="Q51" s="28"/>
    </row>
    <row r="52" spans="1:17" ht="56.1" customHeight="1" x14ac:dyDescent="0.25">
      <c r="A52" s="26"/>
      <c r="B52" s="18"/>
      <c r="C52" s="18" t="s">
        <v>67</v>
      </c>
      <c r="D52" s="18"/>
      <c r="E52" s="18" t="s">
        <v>67</v>
      </c>
      <c r="F52" s="18"/>
      <c r="G52" s="18" t="s">
        <v>67</v>
      </c>
      <c r="H52" s="18"/>
      <c r="I52" s="8" t="s">
        <v>76</v>
      </c>
      <c r="J52" s="8" t="s">
        <v>77</v>
      </c>
      <c r="K52" s="28"/>
      <c r="L52" s="48"/>
      <c r="M52" s="28"/>
      <c r="N52" s="28"/>
      <c r="O52" s="28"/>
      <c r="P52" s="28"/>
      <c r="Q52" s="28"/>
    </row>
    <row r="53" spans="1:17" x14ac:dyDescent="0.25">
      <c r="A53" s="26"/>
    </row>
    <row r="54" spans="1:17" ht="48" customHeight="1" x14ac:dyDescent="0.25">
      <c r="A54" s="26"/>
      <c r="C54" s="22" t="s">
        <v>72</v>
      </c>
    </row>
    <row r="55" spans="1:17" x14ac:dyDescent="0.25">
      <c r="A55" s="26"/>
      <c r="B55" s="23">
        <v>10</v>
      </c>
      <c r="C55" s="23">
        <v>11</v>
      </c>
      <c r="D55" s="23">
        <v>12</v>
      </c>
      <c r="E55" s="23">
        <v>13</v>
      </c>
      <c r="F55" s="23">
        <v>14</v>
      </c>
      <c r="G55" s="23">
        <v>15</v>
      </c>
      <c r="H55" s="23">
        <v>16</v>
      </c>
    </row>
    <row r="56" spans="1:17" x14ac:dyDescent="0.25">
      <c r="A56" s="26"/>
    </row>
    <row r="57" spans="1:17" ht="47.25" x14ac:dyDescent="0.25">
      <c r="A57" s="26"/>
      <c r="C57" s="22" t="s">
        <v>62</v>
      </c>
      <c r="D57" s="22" t="s">
        <v>67</v>
      </c>
      <c r="E57" s="21" t="s">
        <v>104</v>
      </c>
      <c r="F57" s="21"/>
      <c r="G57" s="21" t="s">
        <v>107</v>
      </c>
      <c r="H57" s="21"/>
    </row>
    <row r="58" spans="1:17" x14ac:dyDescent="0.25">
      <c r="A58" s="26"/>
    </row>
    <row r="59" spans="1:17" ht="66.95" customHeight="1" x14ac:dyDescent="0.25">
      <c r="A59" s="26"/>
      <c r="C59" s="24" t="s">
        <v>112</v>
      </c>
    </row>
    <row r="60" spans="1:17" x14ac:dyDescent="0.25">
      <c r="A60" s="26"/>
      <c r="B60" s="23">
        <v>17</v>
      </c>
      <c r="C60" s="23">
        <v>18</v>
      </c>
      <c r="D60" s="23">
        <v>19</v>
      </c>
      <c r="E60" s="23">
        <v>20</v>
      </c>
      <c r="F60" s="23">
        <v>21</v>
      </c>
      <c r="G60" s="23">
        <v>22</v>
      </c>
      <c r="H60" s="23">
        <v>23</v>
      </c>
    </row>
    <row r="61" spans="1:17" ht="56.1" customHeight="1" x14ac:dyDescent="0.25">
      <c r="A61" s="26"/>
      <c r="B61" s="21"/>
      <c r="C61" s="21"/>
      <c r="D61" s="21"/>
      <c r="E61" s="21"/>
      <c r="F61" s="21"/>
      <c r="G61" s="21"/>
      <c r="H61" s="21"/>
    </row>
    <row r="62" spans="1:17" x14ac:dyDescent="0.25">
      <c r="A62" s="26"/>
    </row>
    <row r="63" spans="1:17" ht="48" customHeight="1" x14ac:dyDescent="0.25">
      <c r="A63" s="26"/>
      <c r="D63" s="24" t="s">
        <v>72</v>
      </c>
    </row>
    <row r="64" spans="1:17" x14ac:dyDescent="0.25">
      <c r="A64" s="26"/>
      <c r="B64" s="23">
        <v>24</v>
      </c>
      <c r="C64" s="23">
        <v>25</v>
      </c>
      <c r="D64" s="23">
        <v>26</v>
      </c>
      <c r="E64" s="23">
        <v>27</v>
      </c>
      <c r="F64" s="23">
        <v>28</v>
      </c>
      <c r="G64" s="23">
        <v>29</v>
      </c>
      <c r="H64" s="23">
        <v>30</v>
      </c>
    </row>
    <row r="65" spans="1:15" ht="54.95" customHeight="1" x14ac:dyDescent="0.25">
      <c r="A65" s="26"/>
      <c r="B65" s="21" t="s">
        <v>96</v>
      </c>
      <c r="C65" s="21" t="s">
        <v>97</v>
      </c>
      <c r="D65" s="21" t="s">
        <v>98</v>
      </c>
      <c r="E65" s="21" t="s">
        <v>99</v>
      </c>
      <c r="F65" s="21" t="s">
        <v>108</v>
      </c>
      <c r="G65" s="21" t="s">
        <v>103</v>
      </c>
      <c r="H65" s="21" t="s">
        <v>103</v>
      </c>
    </row>
    <row r="66" spans="1:15" x14ac:dyDescent="0.25">
      <c r="A66" s="26"/>
    </row>
    <row r="67" spans="1:15" ht="57" customHeight="1" x14ac:dyDescent="0.25">
      <c r="A67" s="26"/>
      <c r="D67" s="24" t="s">
        <v>62</v>
      </c>
      <c r="E67" s="24" t="s">
        <v>67</v>
      </c>
    </row>
    <row r="68" spans="1:15" x14ac:dyDescent="0.25">
      <c r="A68" s="27" t="s">
        <v>68</v>
      </c>
      <c r="B68" s="23">
        <v>31</v>
      </c>
      <c r="C68" s="23">
        <v>1</v>
      </c>
      <c r="D68" s="23">
        <v>2</v>
      </c>
      <c r="E68" s="23">
        <v>3</v>
      </c>
      <c r="F68" s="23">
        <v>4</v>
      </c>
      <c r="G68" s="23">
        <v>5</v>
      </c>
      <c r="H68" s="23">
        <v>6</v>
      </c>
    </row>
    <row r="69" spans="1:15" ht="50.1" customHeight="1" x14ac:dyDescent="0.25">
      <c r="A69" s="27"/>
      <c r="B69" s="21" t="s">
        <v>103</v>
      </c>
      <c r="C69" s="21" t="s">
        <v>67</v>
      </c>
      <c r="D69" s="21" t="s">
        <v>67</v>
      </c>
    </row>
    <row r="70" spans="1:15" x14ac:dyDescent="0.25">
      <c r="A70" s="27"/>
    </row>
    <row r="71" spans="1:15" x14ac:dyDescent="0.25">
      <c r="A71" s="27"/>
    </row>
    <row r="72" spans="1:15" x14ac:dyDescent="0.25">
      <c r="A72" s="27"/>
      <c r="B72" s="23">
        <v>7</v>
      </c>
      <c r="C72" s="23">
        <v>8</v>
      </c>
      <c r="D72" s="23">
        <v>9</v>
      </c>
      <c r="E72" s="23">
        <v>10</v>
      </c>
      <c r="F72" s="23">
        <v>11</v>
      </c>
      <c r="G72" s="23">
        <v>12</v>
      </c>
      <c r="H72" s="23">
        <v>13</v>
      </c>
    </row>
    <row r="73" spans="1:15" x14ac:dyDescent="0.25">
      <c r="A73" s="27"/>
    </row>
    <row r="74" spans="1:15" ht="47.1" customHeight="1" x14ac:dyDescent="0.25">
      <c r="A74" s="27"/>
      <c r="F74" s="22" t="s">
        <v>104</v>
      </c>
      <c r="G74" s="22" t="s">
        <v>110</v>
      </c>
      <c r="H74" s="22"/>
      <c r="K74" s="8"/>
      <c r="L74" s="8"/>
      <c r="M74" s="8"/>
      <c r="N74" s="8"/>
      <c r="O74" s="8"/>
    </row>
    <row r="75" spans="1:15" x14ac:dyDescent="0.25">
      <c r="A75" s="27"/>
    </row>
    <row r="76" spans="1:15" ht="48" customHeight="1" x14ac:dyDescent="0.25">
      <c r="A76" s="27"/>
      <c r="C76" s="25" t="s">
        <v>116</v>
      </c>
    </row>
    <row r="77" spans="1:15" x14ac:dyDescent="0.25">
      <c r="A77" s="27"/>
      <c r="B77" s="23">
        <v>14</v>
      </c>
      <c r="C77" s="23">
        <v>15</v>
      </c>
      <c r="D77" s="23">
        <v>16</v>
      </c>
      <c r="E77" s="23">
        <v>17</v>
      </c>
      <c r="F77" s="23">
        <v>18</v>
      </c>
      <c r="G77" s="23">
        <v>19</v>
      </c>
      <c r="H77" s="23">
        <v>20</v>
      </c>
    </row>
    <row r="78" spans="1:15" x14ac:dyDescent="0.25">
      <c r="A78" s="27"/>
    </row>
    <row r="79" spans="1:15" ht="48" customHeight="1" x14ac:dyDescent="0.25">
      <c r="A79" s="27"/>
      <c r="B79" s="22"/>
      <c r="C79" s="22"/>
      <c r="D79" s="22"/>
      <c r="E79" s="22"/>
      <c r="F79" s="22"/>
      <c r="G79" s="22"/>
      <c r="H79" s="22"/>
    </row>
    <row r="80" spans="1:15" ht="48" customHeight="1" x14ac:dyDescent="0.25">
      <c r="A80" s="27"/>
      <c r="K80" s="8"/>
      <c r="L80" s="8"/>
      <c r="M80" s="8"/>
      <c r="N80" s="8"/>
    </row>
    <row r="81" spans="1:14" ht="48" customHeight="1" x14ac:dyDescent="0.25">
      <c r="A81" s="27"/>
      <c r="C81" s="25" t="s">
        <v>118</v>
      </c>
      <c r="G81" s="25" t="s">
        <v>119</v>
      </c>
      <c r="K81" s="8"/>
      <c r="L81" s="8"/>
      <c r="M81" s="8"/>
      <c r="N81" s="8"/>
    </row>
    <row r="82" spans="1:14" x14ac:dyDescent="0.25">
      <c r="A82" s="27"/>
      <c r="B82" s="23">
        <v>21</v>
      </c>
      <c r="C82" s="23">
        <v>22</v>
      </c>
      <c r="D82" s="23">
        <v>23</v>
      </c>
      <c r="E82" s="23">
        <v>24</v>
      </c>
      <c r="F82" s="23">
        <v>25</v>
      </c>
      <c r="G82" s="23">
        <v>26</v>
      </c>
      <c r="H82" s="23">
        <v>27</v>
      </c>
    </row>
    <row r="83" spans="1:14" x14ac:dyDescent="0.25">
      <c r="A83" s="27"/>
    </row>
    <row r="84" spans="1:14" ht="48" customHeight="1" x14ac:dyDescent="0.25">
      <c r="A84" s="27"/>
      <c r="B84" s="22" t="s">
        <v>96</v>
      </c>
      <c r="C84" s="22" t="s">
        <v>97</v>
      </c>
      <c r="D84" s="22" t="s">
        <v>98</v>
      </c>
      <c r="E84" s="22" t="s">
        <v>99</v>
      </c>
      <c r="F84" s="22" t="s">
        <v>108</v>
      </c>
      <c r="G84" s="22" t="s">
        <v>103</v>
      </c>
      <c r="H84" s="22" t="s">
        <v>103</v>
      </c>
    </row>
    <row r="85" spans="1:14" ht="48" customHeight="1" x14ac:dyDescent="0.25">
      <c r="A85" s="27"/>
    </row>
    <row r="86" spans="1:14" ht="21.95" customHeight="1" x14ac:dyDescent="0.25">
      <c r="A86" s="27"/>
    </row>
    <row r="87" spans="1:14" x14ac:dyDescent="0.25">
      <c r="A87" s="26" t="s">
        <v>69</v>
      </c>
      <c r="B87" s="23">
        <v>28</v>
      </c>
      <c r="C87" s="23">
        <v>29</v>
      </c>
      <c r="D87" s="23">
        <v>30</v>
      </c>
      <c r="E87" s="23">
        <v>1</v>
      </c>
      <c r="F87" s="23">
        <v>2</v>
      </c>
      <c r="G87" s="23">
        <v>3</v>
      </c>
      <c r="H87" s="23">
        <v>4</v>
      </c>
    </row>
    <row r="88" spans="1:14" x14ac:dyDescent="0.25">
      <c r="A88" s="26"/>
    </row>
    <row r="89" spans="1:14" ht="54.95" customHeight="1" x14ac:dyDescent="0.25">
      <c r="A89" s="26"/>
      <c r="B89" s="22" t="s">
        <v>103</v>
      </c>
      <c r="C89" s="22" t="s">
        <v>67</v>
      </c>
      <c r="D89" s="22" t="s">
        <v>67</v>
      </c>
    </row>
    <row r="90" spans="1:14" ht="48" customHeight="1" x14ac:dyDescent="0.25">
      <c r="A90" s="26"/>
      <c r="B90" s="24"/>
      <c r="C90" s="24" t="s">
        <v>104</v>
      </c>
      <c r="D90" s="24" t="s">
        <v>111</v>
      </c>
      <c r="E90" s="24"/>
      <c r="F90" s="24"/>
      <c r="G90" s="24"/>
      <c r="H90" s="24"/>
    </row>
    <row r="91" spans="1:14" x14ac:dyDescent="0.25">
      <c r="A91" s="26"/>
    </row>
    <row r="92" spans="1:14" x14ac:dyDescent="0.25">
      <c r="A92" s="26"/>
      <c r="B92" s="23">
        <v>5</v>
      </c>
      <c r="C92" s="23">
        <v>6</v>
      </c>
      <c r="D92" s="23">
        <v>7</v>
      </c>
      <c r="E92" s="23">
        <v>8</v>
      </c>
      <c r="F92" s="23">
        <v>9</v>
      </c>
      <c r="G92" s="23">
        <v>10</v>
      </c>
      <c r="H92" s="23">
        <v>11</v>
      </c>
    </row>
    <row r="93" spans="1:14" x14ac:dyDescent="0.25">
      <c r="A93" s="26"/>
    </row>
    <row r="94" spans="1:14" x14ac:dyDescent="0.25">
      <c r="A94" s="26"/>
    </row>
    <row r="95" spans="1:14" ht="48" customHeight="1" x14ac:dyDescent="0.25">
      <c r="A95" s="26"/>
      <c r="B95" s="24"/>
      <c r="C95" s="24"/>
      <c r="D95" s="24"/>
      <c r="E95" s="24"/>
      <c r="F95" s="24" t="s">
        <v>96</v>
      </c>
      <c r="G95" s="24" t="s">
        <v>97</v>
      </c>
      <c r="H95" s="24" t="s">
        <v>98</v>
      </c>
    </row>
    <row r="96" spans="1:14" x14ac:dyDescent="0.25">
      <c r="A96" s="26"/>
    </row>
    <row r="97" spans="1:8" x14ac:dyDescent="0.25">
      <c r="A97" s="26"/>
      <c r="B97" s="23">
        <v>12</v>
      </c>
      <c r="C97" s="23">
        <v>13</v>
      </c>
      <c r="D97" s="23">
        <v>14</v>
      </c>
      <c r="E97" s="23">
        <v>15</v>
      </c>
      <c r="F97" s="23">
        <v>16</v>
      </c>
      <c r="G97" s="23">
        <v>17</v>
      </c>
      <c r="H97" s="23">
        <v>18</v>
      </c>
    </row>
    <row r="98" spans="1:8" x14ac:dyDescent="0.25">
      <c r="A98" s="26"/>
    </row>
    <row r="99" spans="1:8" x14ac:dyDescent="0.25">
      <c r="A99" s="26"/>
    </row>
    <row r="100" spans="1:8" ht="48" customHeight="1" x14ac:dyDescent="0.25">
      <c r="A100" s="26"/>
      <c r="B100" s="24" t="s">
        <v>99</v>
      </c>
      <c r="C100" s="24" t="s">
        <v>108</v>
      </c>
      <c r="D100" s="24" t="s">
        <v>103</v>
      </c>
      <c r="E100" s="24" t="s">
        <v>103</v>
      </c>
      <c r="F100" s="24" t="s">
        <v>103</v>
      </c>
      <c r="G100" s="24" t="s">
        <v>67</v>
      </c>
      <c r="H100" s="24" t="s">
        <v>67</v>
      </c>
    </row>
    <row r="101" spans="1:8" x14ac:dyDescent="0.25">
      <c r="A101" s="26"/>
    </row>
    <row r="102" spans="1:8" x14ac:dyDescent="0.25">
      <c r="A102" s="26"/>
      <c r="B102" s="23">
        <v>19</v>
      </c>
      <c r="C102" s="23">
        <v>20</v>
      </c>
      <c r="D102" s="23">
        <v>21</v>
      </c>
      <c r="E102" s="23">
        <v>22</v>
      </c>
      <c r="F102" s="23">
        <v>23</v>
      </c>
      <c r="G102" s="23">
        <v>24</v>
      </c>
      <c r="H102" s="23">
        <v>25</v>
      </c>
    </row>
    <row r="103" spans="1:8" x14ac:dyDescent="0.25">
      <c r="A103" s="26"/>
    </row>
    <row r="104" spans="1:8" x14ac:dyDescent="0.25">
      <c r="A104" s="26"/>
    </row>
    <row r="105" spans="1:8" ht="48" customHeight="1" x14ac:dyDescent="0.25">
      <c r="A105" s="26"/>
    </row>
    <row r="106" spans="1:8" x14ac:dyDescent="0.25">
      <c r="A106" s="26"/>
    </row>
    <row r="107" spans="1:8" x14ac:dyDescent="0.25">
      <c r="A107" s="27" t="s">
        <v>70</v>
      </c>
      <c r="B107" s="23">
        <v>26</v>
      </c>
      <c r="C107" s="23">
        <v>27</v>
      </c>
      <c r="D107" s="23">
        <v>28</v>
      </c>
      <c r="E107" s="23">
        <v>29</v>
      </c>
      <c r="F107" s="23">
        <v>30</v>
      </c>
      <c r="G107" s="23">
        <v>31</v>
      </c>
      <c r="H107" s="23">
        <v>1</v>
      </c>
    </row>
    <row r="108" spans="1:8" x14ac:dyDescent="0.25">
      <c r="A108" s="27"/>
    </row>
    <row r="109" spans="1:8" x14ac:dyDescent="0.25">
      <c r="A109" s="27"/>
    </row>
    <row r="110" spans="1:8" x14ac:dyDescent="0.25">
      <c r="A110" s="27"/>
    </row>
    <row r="111" spans="1:8" ht="48" customHeight="1" x14ac:dyDescent="0.25">
      <c r="A111" s="27"/>
      <c r="F111" s="25" t="s">
        <v>114</v>
      </c>
      <c r="G111" s="25" t="s">
        <v>114</v>
      </c>
    </row>
    <row r="112" spans="1:8" x14ac:dyDescent="0.25">
      <c r="A112" s="27"/>
      <c r="B112" s="23">
        <v>2</v>
      </c>
      <c r="C112" s="23">
        <v>3</v>
      </c>
      <c r="D112" s="23">
        <v>4</v>
      </c>
      <c r="E112" s="23">
        <v>5</v>
      </c>
      <c r="F112" s="23">
        <v>6</v>
      </c>
      <c r="G112" s="23">
        <v>7</v>
      </c>
      <c r="H112" s="23">
        <v>8</v>
      </c>
    </row>
    <row r="113" spans="1:8" x14ac:dyDescent="0.25">
      <c r="A113" s="27"/>
    </row>
    <row r="114" spans="1:8" x14ac:dyDescent="0.25">
      <c r="A114" s="27"/>
    </row>
    <row r="115" spans="1:8" x14ac:dyDescent="0.25">
      <c r="A115" s="27"/>
    </row>
    <row r="116" spans="1:8" ht="48" customHeight="1" x14ac:dyDescent="0.25">
      <c r="A116" s="27"/>
      <c r="C116" s="25" t="s">
        <v>114</v>
      </c>
      <c r="D116" s="25" t="s">
        <v>114</v>
      </c>
      <c r="E116" s="25" t="s">
        <v>114</v>
      </c>
      <c r="F116" s="25" t="s">
        <v>114</v>
      </c>
      <c r="G116" s="25" t="s">
        <v>114</v>
      </c>
    </row>
    <row r="117" spans="1:8" x14ac:dyDescent="0.25">
      <c r="A117" s="27"/>
      <c r="B117" s="23">
        <v>9</v>
      </c>
      <c r="C117" s="23">
        <v>10</v>
      </c>
      <c r="D117" s="23">
        <v>11</v>
      </c>
      <c r="E117" s="23">
        <v>12</v>
      </c>
      <c r="F117" s="23">
        <v>13</v>
      </c>
      <c r="G117" s="23">
        <v>14</v>
      </c>
      <c r="H117" s="23">
        <v>15</v>
      </c>
    </row>
    <row r="118" spans="1:8" x14ac:dyDescent="0.25">
      <c r="A118" s="27"/>
    </row>
    <row r="119" spans="1:8" x14ac:dyDescent="0.25">
      <c r="A119" s="27"/>
    </row>
    <row r="120" spans="1:8" x14ac:dyDescent="0.25">
      <c r="A120" s="27"/>
    </row>
    <row r="121" spans="1:8" ht="48" customHeight="1" x14ac:dyDescent="0.25">
      <c r="A121" s="27"/>
      <c r="C121" s="25" t="s">
        <v>114</v>
      </c>
      <c r="D121" s="25" t="s">
        <v>114</v>
      </c>
      <c r="E121" s="25" t="s">
        <v>114</v>
      </c>
      <c r="F121" s="25" t="s">
        <v>114</v>
      </c>
      <c r="G121" s="25" t="s">
        <v>114</v>
      </c>
    </row>
    <row r="122" spans="1:8" x14ac:dyDescent="0.25">
      <c r="A122" s="27"/>
      <c r="B122" s="23">
        <v>16</v>
      </c>
      <c r="C122" s="23">
        <v>17</v>
      </c>
      <c r="D122" s="23">
        <v>18</v>
      </c>
      <c r="E122" s="23">
        <v>19</v>
      </c>
      <c r="F122" s="23">
        <v>20</v>
      </c>
      <c r="G122" s="23">
        <v>21</v>
      </c>
      <c r="H122" s="23">
        <v>22</v>
      </c>
    </row>
    <row r="123" spans="1:8" x14ac:dyDescent="0.25">
      <c r="A123" s="27"/>
    </row>
    <row r="124" spans="1:8" x14ac:dyDescent="0.25">
      <c r="A124" s="27"/>
    </row>
    <row r="125" spans="1:8" ht="48" customHeight="1" x14ac:dyDescent="0.25">
      <c r="A125" s="27"/>
    </row>
    <row r="126" spans="1:8" x14ac:dyDescent="0.25">
      <c r="A126" s="27"/>
      <c r="B126" s="23">
        <v>23</v>
      </c>
      <c r="C126" s="23">
        <v>24</v>
      </c>
      <c r="D126" s="23">
        <v>25</v>
      </c>
      <c r="E126" s="23">
        <v>26</v>
      </c>
      <c r="F126" s="23">
        <v>27</v>
      </c>
      <c r="G126" s="23">
        <v>28</v>
      </c>
      <c r="H126" s="23">
        <v>29</v>
      </c>
    </row>
    <row r="127" spans="1:8" x14ac:dyDescent="0.25">
      <c r="A127" s="27"/>
    </row>
    <row r="128" spans="1:8" x14ac:dyDescent="0.25">
      <c r="A128" s="27"/>
    </row>
    <row r="129" spans="1:8" ht="48" customHeight="1" x14ac:dyDescent="0.25">
      <c r="A129" s="27"/>
    </row>
    <row r="130" spans="1:8" x14ac:dyDescent="0.25">
      <c r="A130" s="8" t="s">
        <v>115</v>
      </c>
      <c r="B130" s="23">
        <v>30</v>
      </c>
      <c r="C130" s="23">
        <v>1</v>
      </c>
      <c r="D130" s="23">
        <v>2</v>
      </c>
      <c r="E130" s="23">
        <v>3</v>
      </c>
      <c r="F130" s="23">
        <v>4</v>
      </c>
      <c r="G130" s="23">
        <v>5</v>
      </c>
      <c r="H130" s="23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6CD3-E55A-4A4F-924B-F9A1E0CDE2F9}">
  <dimension ref="A1:AD57"/>
  <sheetViews>
    <sheetView topLeftCell="Q1" workbookViewId="0">
      <selection activeCell="X12" sqref="X12:AD33"/>
    </sheetView>
  </sheetViews>
  <sheetFormatPr defaultColWidth="10.875" defaultRowHeight="15" x14ac:dyDescent="0.25"/>
  <cols>
    <col min="1" max="1" width="10.875" style="1"/>
    <col min="2" max="2" width="12.125" style="1" customWidth="1"/>
    <col min="3" max="5" width="10.875" style="1"/>
    <col min="6" max="6" width="4.625" style="1" bestFit="1" customWidth="1"/>
    <col min="7" max="7" width="9.625" style="1" bestFit="1" customWidth="1"/>
    <col min="8" max="8" width="15.5" style="1" bestFit="1" customWidth="1"/>
    <col min="9" max="9" width="12" style="1" customWidth="1"/>
    <col min="10" max="10" width="13.375" style="1" bestFit="1" customWidth="1"/>
    <col min="11" max="11" width="13.125" style="1" bestFit="1" customWidth="1"/>
    <col min="12" max="12" width="13.125" style="1" customWidth="1"/>
    <col min="13" max="13" width="13.625" style="1" customWidth="1"/>
    <col min="14" max="15" width="14.875" style="1" customWidth="1"/>
    <col min="16" max="16" width="12.5" style="1" bestFit="1" customWidth="1"/>
    <col min="17" max="18" width="10.875" style="1"/>
    <col min="19" max="19" width="11.5" style="1" bestFit="1" customWidth="1"/>
    <col min="20" max="20" width="10.875" style="1"/>
    <col min="21" max="21" width="17.5" style="1" bestFit="1" customWidth="1"/>
    <col min="22" max="22" width="10.875" style="1" customWidth="1"/>
    <col min="23" max="23" width="10.875" style="1"/>
    <col min="24" max="30" width="10.875" style="28"/>
    <col min="31" max="16384" width="10.875" style="1"/>
  </cols>
  <sheetData>
    <row r="1" spans="1:30" x14ac:dyDescent="0.2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130</v>
      </c>
      <c r="F1" s="1" t="s">
        <v>124</v>
      </c>
      <c r="G1" s="1" t="s">
        <v>141</v>
      </c>
      <c r="H1" s="1" t="s">
        <v>142</v>
      </c>
      <c r="I1" s="1" t="s">
        <v>125</v>
      </c>
      <c r="J1" s="1" t="s">
        <v>126</v>
      </c>
      <c r="K1" s="1" t="s">
        <v>127</v>
      </c>
      <c r="L1" s="1" t="s">
        <v>152</v>
      </c>
      <c r="M1" s="1" t="s">
        <v>135</v>
      </c>
      <c r="N1" s="1" t="s">
        <v>136</v>
      </c>
      <c r="O1" s="1" t="s">
        <v>121</v>
      </c>
      <c r="P1" s="1" t="s">
        <v>134</v>
      </c>
      <c r="Q1" s="1" t="s">
        <v>137</v>
      </c>
      <c r="R1" s="1" t="s">
        <v>138</v>
      </c>
      <c r="S1" s="1" t="s">
        <v>139</v>
      </c>
      <c r="T1" s="1" t="s">
        <v>140</v>
      </c>
      <c r="Y1" s="50" t="s">
        <v>158</v>
      </c>
    </row>
    <row r="2" spans="1:30" x14ac:dyDescent="0.25">
      <c r="A2" s="1" t="s">
        <v>12</v>
      </c>
      <c r="B2" s="1" t="s">
        <v>128</v>
      </c>
      <c r="C2" s="2">
        <v>45237</v>
      </c>
      <c r="D2" s="1" t="s">
        <v>129</v>
      </c>
      <c r="E2" s="1" t="s">
        <v>131</v>
      </c>
      <c r="F2" s="1" t="s">
        <v>50</v>
      </c>
      <c r="G2" s="1" t="s">
        <v>132</v>
      </c>
      <c r="H2" s="1" t="s">
        <v>133</v>
      </c>
      <c r="I2" s="1" t="s">
        <v>71</v>
      </c>
      <c r="J2" s="1" t="s">
        <v>71</v>
      </c>
      <c r="K2" s="2">
        <v>45286</v>
      </c>
      <c r="L2" s="2"/>
      <c r="O2" s="1" t="s">
        <v>143</v>
      </c>
      <c r="P2" s="2">
        <v>45280</v>
      </c>
      <c r="Q2" s="2">
        <v>45294</v>
      </c>
      <c r="Y2" s="51" t="s">
        <v>159</v>
      </c>
    </row>
    <row r="3" spans="1:30" x14ac:dyDescent="0.25">
      <c r="A3" s="1" t="s">
        <v>13</v>
      </c>
      <c r="B3" s="1" t="s">
        <v>128</v>
      </c>
      <c r="C3" s="2">
        <v>45237</v>
      </c>
      <c r="D3" s="1" t="s">
        <v>129</v>
      </c>
      <c r="E3" s="1" t="s">
        <v>131</v>
      </c>
      <c r="F3" s="1" t="s">
        <v>50</v>
      </c>
      <c r="G3" s="1" t="s">
        <v>132</v>
      </c>
      <c r="H3" s="1" t="s">
        <v>133</v>
      </c>
      <c r="I3" s="1" t="s">
        <v>71</v>
      </c>
      <c r="J3" s="1" t="s">
        <v>71</v>
      </c>
      <c r="K3" s="2">
        <v>45286</v>
      </c>
      <c r="L3" s="2"/>
      <c r="O3" s="1" t="s">
        <v>143</v>
      </c>
      <c r="P3" s="2">
        <v>45280</v>
      </c>
      <c r="Q3" s="2">
        <v>45294</v>
      </c>
      <c r="Y3" s="40" t="s">
        <v>154</v>
      </c>
      <c r="Z3" s="29" t="s">
        <v>149</v>
      </c>
      <c r="AA3" s="29" t="s">
        <v>143</v>
      </c>
      <c r="AB3" s="29" t="s">
        <v>144</v>
      </c>
      <c r="AC3" s="29" t="s">
        <v>145</v>
      </c>
    </row>
    <row r="4" spans="1:30" x14ac:dyDescent="0.25">
      <c r="A4" s="1" t="s">
        <v>14</v>
      </c>
      <c r="B4" s="1" t="s">
        <v>128</v>
      </c>
      <c r="C4" s="2">
        <v>45237</v>
      </c>
      <c r="D4" s="1" t="s">
        <v>129</v>
      </c>
      <c r="E4" s="1" t="s">
        <v>131</v>
      </c>
      <c r="F4" s="1" t="s">
        <v>50</v>
      </c>
      <c r="G4" s="1" t="s">
        <v>132</v>
      </c>
      <c r="H4" s="1" t="s">
        <v>133</v>
      </c>
      <c r="I4" s="1" t="s">
        <v>71</v>
      </c>
      <c r="J4" s="1" t="s">
        <v>71</v>
      </c>
      <c r="K4" s="2">
        <v>45286</v>
      </c>
      <c r="L4" s="2"/>
      <c r="O4" s="1" t="s">
        <v>143</v>
      </c>
      <c r="P4" s="2">
        <v>45280</v>
      </c>
      <c r="Q4" s="2">
        <v>45294</v>
      </c>
      <c r="Y4" s="42" t="s">
        <v>156</v>
      </c>
      <c r="Z4" s="31" t="s">
        <v>150</v>
      </c>
      <c r="AA4" s="31" t="s">
        <v>146</v>
      </c>
      <c r="AB4" s="31" t="s">
        <v>147</v>
      </c>
      <c r="AC4" s="31" t="s">
        <v>54</v>
      </c>
    </row>
    <row r="5" spans="1:30" x14ac:dyDescent="0.25">
      <c r="A5" s="1" t="s">
        <v>15</v>
      </c>
      <c r="B5" s="1" t="s">
        <v>128</v>
      </c>
      <c r="C5" s="2">
        <v>45237</v>
      </c>
      <c r="D5" s="1" t="s">
        <v>129</v>
      </c>
      <c r="E5" s="1" t="s">
        <v>131</v>
      </c>
      <c r="F5" s="1" t="s">
        <v>50</v>
      </c>
      <c r="G5" s="1" t="s">
        <v>132</v>
      </c>
      <c r="H5" s="1" t="s">
        <v>133</v>
      </c>
      <c r="I5" s="1" t="s">
        <v>71</v>
      </c>
      <c r="J5" s="1" t="s">
        <v>71</v>
      </c>
      <c r="K5" s="2">
        <v>45286</v>
      </c>
      <c r="L5" s="2"/>
      <c r="O5" s="1" t="s">
        <v>144</v>
      </c>
      <c r="P5" s="2">
        <v>45280</v>
      </c>
      <c r="Q5" s="2">
        <v>45294</v>
      </c>
      <c r="Y5" s="41" t="s">
        <v>155</v>
      </c>
      <c r="Z5" s="1"/>
      <c r="AA5" s="1"/>
      <c r="AB5" s="1"/>
      <c r="AC5" s="1"/>
    </row>
    <row r="6" spans="1:30" x14ac:dyDescent="0.25">
      <c r="A6" s="1" t="s">
        <v>16</v>
      </c>
      <c r="B6" s="1" t="s">
        <v>128</v>
      </c>
      <c r="C6" s="2">
        <v>45237</v>
      </c>
      <c r="D6" s="1" t="s">
        <v>129</v>
      </c>
      <c r="E6" s="1" t="s">
        <v>131</v>
      </c>
      <c r="F6" s="1" t="s">
        <v>50</v>
      </c>
      <c r="G6" s="1" t="s">
        <v>132</v>
      </c>
      <c r="H6" s="1" t="s">
        <v>133</v>
      </c>
      <c r="I6" s="1" t="s">
        <v>71</v>
      </c>
      <c r="J6" s="1" t="s">
        <v>71</v>
      </c>
      <c r="K6" s="2">
        <v>45286</v>
      </c>
      <c r="L6" s="2"/>
      <c r="O6" s="1" t="s">
        <v>144</v>
      </c>
      <c r="P6" s="2">
        <v>45280</v>
      </c>
      <c r="Q6" s="2">
        <v>45294</v>
      </c>
      <c r="Y6" s="43" t="s">
        <v>157</v>
      </c>
      <c r="Z6" s="1"/>
      <c r="AA6" s="1"/>
      <c r="AB6" s="1"/>
      <c r="AC6" s="1"/>
    </row>
    <row r="7" spans="1:30" x14ac:dyDescent="0.25">
      <c r="A7" s="1" t="s">
        <v>7</v>
      </c>
      <c r="B7" s="1" t="s">
        <v>128</v>
      </c>
      <c r="C7" s="2">
        <v>45237</v>
      </c>
      <c r="D7" s="1" t="s">
        <v>129</v>
      </c>
      <c r="E7" s="1" t="s">
        <v>131</v>
      </c>
      <c r="F7" s="1" t="s">
        <v>50</v>
      </c>
      <c r="G7" s="1" t="s">
        <v>132</v>
      </c>
      <c r="H7" s="1" t="s">
        <v>133</v>
      </c>
      <c r="I7" s="1" t="s">
        <v>71</v>
      </c>
      <c r="J7" s="1" t="s">
        <v>71</v>
      </c>
      <c r="K7" s="2">
        <v>45287</v>
      </c>
      <c r="L7" s="2"/>
      <c r="O7" s="1" t="s">
        <v>143</v>
      </c>
      <c r="P7" s="2">
        <v>45280</v>
      </c>
      <c r="Q7" s="2">
        <v>45295</v>
      </c>
      <c r="Z7" s="1"/>
      <c r="AA7" s="1"/>
      <c r="AB7" s="1"/>
      <c r="AC7" s="1"/>
    </row>
    <row r="8" spans="1:30" x14ac:dyDescent="0.25">
      <c r="A8" s="4" t="s">
        <v>8</v>
      </c>
      <c r="B8" s="4" t="s">
        <v>128</v>
      </c>
      <c r="C8" s="5">
        <v>45237</v>
      </c>
      <c r="D8" s="4" t="s">
        <v>129</v>
      </c>
      <c r="E8" s="4" t="s">
        <v>131</v>
      </c>
      <c r="F8" s="4" t="s">
        <v>50</v>
      </c>
      <c r="G8" s="4" t="s">
        <v>132</v>
      </c>
      <c r="H8" s="4" t="s">
        <v>133</v>
      </c>
      <c r="I8" s="4" t="s">
        <v>71</v>
      </c>
      <c r="J8" s="4" t="s">
        <v>71</v>
      </c>
      <c r="K8" s="5">
        <v>45287</v>
      </c>
      <c r="L8" s="5"/>
      <c r="M8" s="4"/>
      <c r="N8" s="4"/>
      <c r="O8" s="4"/>
      <c r="P8" s="5">
        <v>45280</v>
      </c>
      <c r="Q8" s="5">
        <v>45295</v>
      </c>
      <c r="R8" s="4"/>
      <c r="S8" s="4"/>
      <c r="T8" s="4"/>
      <c r="U8" s="4" t="s">
        <v>151</v>
      </c>
    </row>
    <row r="9" spans="1:30" x14ac:dyDescent="0.25">
      <c r="A9" s="1" t="s">
        <v>9</v>
      </c>
      <c r="B9" s="1" t="s">
        <v>128</v>
      </c>
      <c r="C9" s="2">
        <v>45237</v>
      </c>
      <c r="D9" s="1" t="s">
        <v>129</v>
      </c>
      <c r="E9" s="1" t="s">
        <v>131</v>
      </c>
      <c r="F9" s="1" t="s">
        <v>50</v>
      </c>
      <c r="G9" s="1" t="s">
        <v>132</v>
      </c>
      <c r="H9" s="1" t="s">
        <v>133</v>
      </c>
      <c r="I9" s="1" t="s">
        <v>71</v>
      </c>
      <c r="J9" s="1" t="s">
        <v>71</v>
      </c>
      <c r="K9" s="2">
        <v>45288</v>
      </c>
      <c r="L9" s="2"/>
      <c r="O9" s="1" t="s">
        <v>143</v>
      </c>
      <c r="P9" s="2">
        <v>45280</v>
      </c>
      <c r="Q9" s="2">
        <v>45295</v>
      </c>
    </row>
    <row r="10" spans="1:30" x14ac:dyDescent="0.25">
      <c r="A10" s="1" t="s">
        <v>10</v>
      </c>
      <c r="B10" s="1" t="s">
        <v>128</v>
      </c>
      <c r="C10" s="2">
        <v>45237</v>
      </c>
      <c r="D10" s="1" t="s">
        <v>129</v>
      </c>
      <c r="E10" s="1" t="s">
        <v>131</v>
      </c>
      <c r="F10" s="1" t="s">
        <v>50</v>
      </c>
      <c r="G10" s="1" t="s">
        <v>132</v>
      </c>
      <c r="H10" s="1" t="s">
        <v>133</v>
      </c>
      <c r="I10" s="1" t="s">
        <v>71</v>
      </c>
      <c r="J10" s="1" t="s">
        <v>71</v>
      </c>
      <c r="K10" s="2">
        <v>45288</v>
      </c>
      <c r="L10" s="2"/>
      <c r="O10" s="1" t="s">
        <v>145</v>
      </c>
      <c r="P10" s="2">
        <v>45280</v>
      </c>
      <c r="Q10" s="2">
        <v>45295</v>
      </c>
    </row>
    <row r="11" spans="1:30" x14ac:dyDescent="0.25">
      <c r="A11" s="1" t="s">
        <v>11</v>
      </c>
      <c r="B11" s="1" t="s">
        <v>128</v>
      </c>
      <c r="C11" s="2">
        <v>45237</v>
      </c>
      <c r="D11" s="1" t="s">
        <v>129</v>
      </c>
      <c r="E11" s="1" t="s">
        <v>131</v>
      </c>
      <c r="F11" s="1" t="s">
        <v>50</v>
      </c>
      <c r="G11" s="1" t="s">
        <v>132</v>
      </c>
      <c r="H11" s="1" t="s">
        <v>133</v>
      </c>
      <c r="I11" s="1" t="s">
        <v>71</v>
      </c>
      <c r="J11" s="1" t="s">
        <v>71</v>
      </c>
      <c r="K11" s="2">
        <v>45288</v>
      </c>
      <c r="L11" s="2"/>
      <c r="O11" s="1" t="s">
        <v>145</v>
      </c>
      <c r="P11" s="2">
        <v>45280</v>
      </c>
      <c r="Q11" s="2">
        <v>45295</v>
      </c>
    </row>
    <row r="12" spans="1:30" x14ac:dyDescent="0.25">
      <c r="A12" s="1" t="s">
        <v>21</v>
      </c>
      <c r="B12" s="1" t="s">
        <v>128</v>
      </c>
      <c r="C12" s="2">
        <v>45237</v>
      </c>
      <c r="D12" s="1" t="s">
        <v>129</v>
      </c>
      <c r="E12" s="1" t="s">
        <v>131</v>
      </c>
      <c r="F12" s="1" t="s">
        <v>50</v>
      </c>
      <c r="G12" s="1" t="s">
        <v>132</v>
      </c>
      <c r="H12" s="1" t="s">
        <v>133</v>
      </c>
      <c r="I12" s="1" t="s">
        <v>71</v>
      </c>
      <c r="J12" s="1" t="s">
        <v>71</v>
      </c>
      <c r="K12" s="2">
        <v>45287</v>
      </c>
      <c r="L12" s="2"/>
      <c r="O12" s="1" t="s">
        <v>144</v>
      </c>
      <c r="P12" s="2">
        <v>45280</v>
      </c>
      <c r="Q12" s="2">
        <v>45295</v>
      </c>
      <c r="X12" s="36" t="s">
        <v>45</v>
      </c>
      <c r="Y12" s="36" t="s">
        <v>50</v>
      </c>
      <c r="Z12" s="36" t="s">
        <v>51</v>
      </c>
      <c r="AA12" s="36" t="s">
        <v>52</v>
      </c>
      <c r="AB12" s="36" t="s">
        <v>51</v>
      </c>
      <c r="AC12" s="36" t="s">
        <v>54</v>
      </c>
      <c r="AD12" s="36" t="s">
        <v>45</v>
      </c>
    </row>
    <row r="13" spans="1:30" x14ac:dyDescent="0.25">
      <c r="A13" s="1" t="s">
        <v>22</v>
      </c>
      <c r="B13" s="1" t="s">
        <v>128</v>
      </c>
      <c r="C13" s="2">
        <v>45237</v>
      </c>
      <c r="D13" s="1" t="s">
        <v>129</v>
      </c>
      <c r="E13" s="1" t="s">
        <v>131</v>
      </c>
      <c r="F13" s="1" t="s">
        <v>50</v>
      </c>
      <c r="G13" s="1" t="s">
        <v>132</v>
      </c>
      <c r="H13" s="1" t="s">
        <v>133</v>
      </c>
      <c r="I13" s="1" t="s">
        <v>71</v>
      </c>
      <c r="J13" s="1" t="s">
        <v>71</v>
      </c>
      <c r="K13" s="2">
        <v>45287</v>
      </c>
      <c r="L13" s="2"/>
      <c r="O13" s="1" t="s">
        <v>144</v>
      </c>
      <c r="P13" s="2">
        <v>45280</v>
      </c>
      <c r="Q13" s="2">
        <v>45295</v>
      </c>
      <c r="AB13" s="50" t="s">
        <v>143</v>
      </c>
      <c r="AC13" s="50" t="s">
        <v>145</v>
      </c>
    </row>
    <row r="14" spans="1:30" x14ac:dyDescent="0.25">
      <c r="A14" s="1" t="s">
        <v>23</v>
      </c>
      <c r="B14" s="1" t="s">
        <v>128</v>
      </c>
      <c r="C14" s="2">
        <v>45237</v>
      </c>
      <c r="D14" s="1" t="s">
        <v>129</v>
      </c>
      <c r="E14" s="1" t="s">
        <v>131</v>
      </c>
      <c r="F14" s="1" t="s">
        <v>50</v>
      </c>
      <c r="G14" s="1" t="s">
        <v>132</v>
      </c>
      <c r="H14" s="1" t="s">
        <v>133</v>
      </c>
      <c r="I14" s="1" t="s">
        <v>71</v>
      </c>
      <c r="J14" s="1" t="s">
        <v>71</v>
      </c>
      <c r="K14" s="2">
        <v>45287</v>
      </c>
      <c r="L14" s="2"/>
      <c r="O14" s="1" t="s">
        <v>144</v>
      </c>
      <c r="P14" s="2">
        <v>45280</v>
      </c>
      <c r="Q14" s="2">
        <v>45295</v>
      </c>
      <c r="AB14" s="50" t="s">
        <v>144</v>
      </c>
      <c r="AC14" s="50" t="s">
        <v>146</v>
      </c>
    </row>
    <row r="15" spans="1:30" x14ac:dyDescent="0.25">
      <c r="A15" s="1" t="s">
        <v>24</v>
      </c>
      <c r="B15" s="1" t="s">
        <v>128</v>
      </c>
      <c r="C15" s="2">
        <v>45237</v>
      </c>
      <c r="D15" s="1" t="s">
        <v>129</v>
      </c>
      <c r="E15" s="1" t="s">
        <v>131</v>
      </c>
      <c r="F15" s="1" t="s">
        <v>50</v>
      </c>
      <c r="G15" s="1" t="s">
        <v>132</v>
      </c>
      <c r="H15" s="1" t="s">
        <v>133</v>
      </c>
      <c r="I15" s="1" t="s">
        <v>71</v>
      </c>
      <c r="J15" s="1" t="s">
        <v>71</v>
      </c>
      <c r="K15" s="2">
        <v>45287</v>
      </c>
      <c r="L15" s="2"/>
      <c r="O15" s="1" t="s">
        <v>144</v>
      </c>
      <c r="P15" s="2">
        <v>45280</v>
      </c>
      <c r="Q15" s="2">
        <v>45295</v>
      </c>
    </row>
    <row r="16" spans="1:30" x14ac:dyDescent="0.25">
      <c r="A16" s="1" t="s">
        <v>17</v>
      </c>
      <c r="B16" s="1" t="s">
        <v>128</v>
      </c>
      <c r="C16" s="2">
        <v>45237</v>
      </c>
      <c r="D16" s="1" t="s">
        <v>129</v>
      </c>
      <c r="E16" s="1" t="s">
        <v>131</v>
      </c>
      <c r="F16" s="1" t="s">
        <v>50</v>
      </c>
      <c r="G16" s="1" t="s">
        <v>132</v>
      </c>
      <c r="H16" s="1" t="s">
        <v>133</v>
      </c>
      <c r="I16" s="1" t="s">
        <v>71</v>
      </c>
      <c r="J16" s="1" t="s">
        <v>71</v>
      </c>
      <c r="K16" s="2">
        <v>45288</v>
      </c>
      <c r="L16" s="2"/>
      <c r="O16" s="1" t="s">
        <v>145</v>
      </c>
      <c r="P16" s="2">
        <v>45280</v>
      </c>
      <c r="Q16" s="2">
        <v>45296</v>
      </c>
      <c r="X16" s="36" t="s">
        <v>45</v>
      </c>
      <c r="Y16" s="36" t="s">
        <v>50</v>
      </c>
      <c r="Z16" s="36" t="s">
        <v>51</v>
      </c>
      <c r="AA16" s="36" t="s">
        <v>52</v>
      </c>
      <c r="AB16" s="36" t="s">
        <v>51</v>
      </c>
      <c r="AC16" s="36" t="s">
        <v>54</v>
      </c>
      <c r="AD16" s="36" t="s">
        <v>45</v>
      </c>
    </row>
    <row r="17" spans="1:30" x14ac:dyDescent="0.25">
      <c r="A17" s="1" t="s">
        <v>18</v>
      </c>
      <c r="B17" s="1" t="s">
        <v>128</v>
      </c>
      <c r="C17" s="2">
        <v>45237</v>
      </c>
      <c r="D17" s="1" t="s">
        <v>129</v>
      </c>
      <c r="E17" s="1" t="s">
        <v>131</v>
      </c>
      <c r="F17" s="1" t="s">
        <v>50</v>
      </c>
      <c r="G17" s="1" t="s">
        <v>132</v>
      </c>
      <c r="H17" s="1" t="s">
        <v>133</v>
      </c>
      <c r="I17" s="1" t="s">
        <v>71</v>
      </c>
      <c r="J17" s="1" t="s">
        <v>71</v>
      </c>
      <c r="K17" s="2">
        <v>45288</v>
      </c>
      <c r="L17" s="2"/>
      <c r="O17" s="1" t="s">
        <v>145</v>
      </c>
      <c r="P17" s="2">
        <v>45280</v>
      </c>
      <c r="Q17" s="2">
        <v>45296</v>
      </c>
      <c r="Y17" s="35" t="s">
        <v>143</v>
      </c>
      <c r="Z17" s="50" t="s">
        <v>147</v>
      </c>
      <c r="AA17" s="45" t="s">
        <v>145</v>
      </c>
      <c r="AC17" s="34" t="s">
        <v>147</v>
      </c>
      <c r="AD17" s="1"/>
    </row>
    <row r="18" spans="1:30" x14ac:dyDescent="0.25">
      <c r="A18" s="1" t="s">
        <v>19</v>
      </c>
      <c r="B18" s="1" t="s">
        <v>128</v>
      </c>
      <c r="C18" s="2">
        <v>45237</v>
      </c>
      <c r="D18" s="1" t="s">
        <v>129</v>
      </c>
      <c r="E18" s="1" t="s">
        <v>131</v>
      </c>
      <c r="F18" s="1" t="s">
        <v>50</v>
      </c>
      <c r="G18" s="1" t="s">
        <v>132</v>
      </c>
      <c r="H18" s="1" t="s">
        <v>133</v>
      </c>
      <c r="I18" s="1" t="s">
        <v>71</v>
      </c>
      <c r="J18" s="1" t="s">
        <v>71</v>
      </c>
      <c r="K18" s="2">
        <v>45288</v>
      </c>
      <c r="L18" s="2"/>
      <c r="O18" s="1" t="s">
        <v>145</v>
      </c>
      <c r="P18" s="2">
        <v>45280</v>
      </c>
      <c r="Q18" s="2">
        <v>45296</v>
      </c>
      <c r="Y18" s="45" t="s">
        <v>144</v>
      </c>
      <c r="Z18" s="50" t="s">
        <v>54</v>
      </c>
      <c r="AA18" s="34" t="s">
        <v>146</v>
      </c>
      <c r="AC18" s="44" t="s">
        <v>54</v>
      </c>
      <c r="AD18" s="1"/>
    </row>
    <row r="19" spans="1:30" x14ac:dyDescent="0.25">
      <c r="A19" s="1" t="s">
        <v>20</v>
      </c>
      <c r="B19" s="1" t="s">
        <v>128</v>
      </c>
      <c r="C19" s="2">
        <v>45237</v>
      </c>
      <c r="D19" s="1" t="s">
        <v>129</v>
      </c>
      <c r="E19" s="1" t="s">
        <v>131</v>
      </c>
      <c r="F19" s="1" t="s">
        <v>50</v>
      </c>
      <c r="G19" s="1" t="s">
        <v>132</v>
      </c>
      <c r="H19" s="1" t="s">
        <v>133</v>
      </c>
      <c r="I19" s="1" t="s">
        <v>71</v>
      </c>
      <c r="J19" s="1" t="s">
        <v>71</v>
      </c>
      <c r="K19" s="2">
        <v>45288</v>
      </c>
      <c r="L19" s="2"/>
      <c r="O19" s="1" t="s">
        <v>145</v>
      </c>
      <c r="P19" s="2">
        <v>45280</v>
      </c>
      <c r="Q19" s="2">
        <v>45296</v>
      </c>
      <c r="Y19" s="48"/>
      <c r="AA19" s="48"/>
      <c r="AC19" s="48"/>
      <c r="AD19" s="1"/>
    </row>
    <row r="20" spans="1:30" x14ac:dyDescent="0.25">
      <c r="A20" s="1" t="s">
        <v>25</v>
      </c>
      <c r="B20" s="1" t="s">
        <v>128</v>
      </c>
      <c r="C20" s="2">
        <v>45237</v>
      </c>
      <c r="D20" s="1" t="s">
        <v>129</v>
      </c>
      <c r="E20" s="1" t="s">
        <v>131</v>
      </c>
      <c r="F20" s="1" t="s">
        <v>54</v>
      </c>
      <c r="G20" s="1" t="s">
        <v>132</v>
      </c>
      <c r="H20" s="1" t="s">
        <v>133</v>
      </c>
      <c r="I20" s="1" t="s">
        <v>71</v>
      </c>
      <c r="J20" s="1" t="s">
        <v>71</v>
      </c>
      <c r="K20" s="2">
        <v>45287</v>
      </c>
      <c r="L20" s="2"/>
      <c r="O20" s="1" t="s">
        <v>146</v>
      </c>
      <c r="P20" s="2">
        <v>45281</v>
      </c>
      <c r="Q20" s="2">
        <v>45294</v>
      </c>
      <c r="X20" s="36" t="s">
        <v>45</v>
      </c>
      <c r="Y20" s="36" t="s">
        <v>50</v>
      </c>
      <c r="Z20" s="36" t="s">
        <v>51</v>
      </c>
      <c r="AA20" s="36" t="s">
        <v>52</v>
      </c>
      <c r="AB20" s="36" t="s">
        <v>51</v>
      </c>
      <c r="AC20" s="36" t="s">
        <v>54</v>
      </c>
      <c r="AD20" s="36" t="s">
        <v>45</v>
      </c>
    </row>
    <row r="21" spans="1:30" x14ac:dyDescent="0.25">
      <c r="A21" s="1" t="s">
        <v>26</v>
      </c>
      <c r="B21" s="1" t="s">
        <v>128</v>
      </c>
      <c r="C21" s="2">
        <v>45237</v>
      </c>
      <c r="D21" s="1" t="s">
        <v>129</v>
      </c>
      <c r="E21" s="1" t="s">
        <v>131</v>
      </c>
      <c r="F21" s="1" t="s">
        <v>54</v>
      </c>
      <c r="G21" s="1" t="s">
        <v>132</v>
      </c>
      <c r="H21" s="1" t="s">
        <v>133</v>
      </c>
      <c r="I21" s="1" t="s">
        <v>71</v>
      </c>
      <c r="J21" s="1" t="s">
        <v>71</v>
      </c>
      <c r="K21" s="2">
        <v>45286</v>
      </c>
      <c r="L21" s="2"/>
      <c r="O21" s="1" t="s">
        <v>146</v>
      </c>
      <c r="P21" s="2">
        <v>45281</v>
      </c>
      <c r="Q21" s="2">
        <v>45294</v>
      </c>
      <c r="Y21" s="45" t="s">
        <v>143</v>
      </c>
      <c r="Z21" s="51" t="s">
        <v>143</v>
      </c>
      <c r="AA21" s="35" t="s">
        <v>145</v>
      </c>
      <c r="AB21" s="51" t="s">
        <v>146</v>
      </c>
      <c r="AC21" s="44" t="s">
        <v>147</v>
      </c>
    </row>
    <row r="22" spans="1:30" x14ac:dyDescent="0.25">
      <c r="A22" s="1" t="s">
        <v>27</v>
      </c>
      <c r="B22" s="1" t="s">
        <v>128</v>
      </c>
      <c r="C22" s="2">
        <v>45237</v>
      </c>
      <c r="D22" s="1" t="s">
        <v>129</v>
      </c>
      <c r="E22" s="1" t="s">
        <v>131</v>
      </c>
      <c r="F22" s="1" t="s">
        <v>54</v>
      </c>
      <c r="G22" s="1" t="s">
        <v>132</v>
      </c>
      <c r="H22" s="1" t="s">
        <v>133</v>
      </c>
      <c r="I22" s="1" t="s">
        <v>71</v>
      </c>
      <c r="J22" s="1" t="s">
        <v>71</v>
      </c>
      <c r="K22" s="2">
        <v>45286</v>
      </c>
      <c r="L22" s="2"/>
      <c r="O22" s="1" t="s">
        <v>146</v>
      </c>
      <c r="P22" s="2">
        <v>45281</v>
      </c>
      <c r="Q22" s="2">
        <v>45294</v>
      </c>
      <c r="Y22" s="35" t="s">
        <v>144</v>
      </c>
      <c r="Z22" s="51" t="s">
        <v>144</v>
      </c>
      <c r="AA22" s="44" t="s">
        <v>146</v>
      </c>
      <c r="AB22" s="51" t="s">
        <v>147</v>
      </c>
      <c r="AC22" s="34" t="s">
        <v>54</v>
      </c>
    </row>
    <row r="23" spans="1:30" x14ac:dyDescent="0.25">
      <c r="A23" s="1" t="s">
        <v>28</v>
      </c>
      <c r="B23" s="1" t="s">
        <v>128</v>
      </c>
      <c r="C23" s="2">
        <v>45237</v>
      </c>
      <c r="D23" s="1" t="s">
        <v>129</v>
      </c>
      <c r="E23" s="1" t="s">
        <v>131</v>
      </c>
      <c r="F23" s="1" t="s">
        <v>54</v>
      </c>
      <c r="G23" s="1" t="s">
        <v>132</v>
      </c>
      <c r="H23" s="1" t="s">
        <v>133</v>
      </c>
      <c r="I23" s="1" t="s">
        <v>71</v>
      </c>
      <c r="J23" s="1" t="s">
        <v>71</v>
      </c>
      <c r="K23" s="2">
        <v>45286</v>
      </c>
      <c r="L23" s="2"/>
      <c r="O23" s="1" t="s">
        <v>147</v>
      </c>
      <c r="P23" s="2">
        <v>45281</v>
      </c>
      <c r="Q23" s="2">
        <v>45294</v>
      </c>
      <c r="Y23" s="49"/>
      <c r="Z23" s="51" t="s">
        <v>145</v>
      </c>
      <c r="AA23" s="49"/>
      <c r="AB23" s="51" t="s">
        <v>54</v>
      </c>
      <c r="AC23" s="49"/>
    </row>
    <row r="24" spans="1:30" x14ac:dyDescent="0.25">
      <c r="A24" s="1" t="s">
        <v>29</v>
      </c>
      <c r="B24" s="1" t="s">
        <v>128</v>
      </c>
      <c r="C24" s="2">
        <v>45237</v>
      </c>
      <c r="D24" s="1" t="s">
        <v>129</v>
      </c>
      <c r="E24" s="1" t="s">
        <v>131</v>
      </c>
      <c r="F24" s="1" t="s">
        <v>54</v>
      </c>
      <c r="G24" s="1" t="s">
        <v>132</v>
      </c>
      <c r="H24" s="1" t="s">
        <v>133</v>
      </c>
      <c r="I24" s="1" t="s">
        <v>71</v>
      </c>
      <c r="J24" s="1" t="s">
        <v>71</v>
      </c>
      <c r="K24" s="2">
        <v>45286</v>
      </c>
      <c r="L24" s="2"/>
      <c r="O24" s="1" t="s">
        <v>147</v>
      </c>
      <c r="P24" s="2">
        <v>45281</v>
      </c>
      <c r="Q24" s="2">
        <v>45294</v>
      </c>
    </row>
    <row r="25" spans="1:30" x14ac:dyDescent="0.25">
      <c r="A25" s="1" t="s">
        <v>30</v>
      </c>
      <c r="B25" s="1" t="s">
        <v>128</v>
      </c>
      <c r="C25" s="2">
        <v>45237</v>
      </c>
      <c r="D25" s="1" t="s">
        <v>129</v>
      </c>
      <c r="E25" s="1" t="s">
        <v>131</v>
      </c>
      <c r="F25" s="1" t="s">
        <v>54</v>
      </c>
      <c r="G25" s="1" t="s">
        <v>132</v>
      </c>
      <c r="H25" s="1" t="s">
        <v>133</v>
      </c>
      <c r="I25" s="1" t="s">
        <v>71</v>
      </c>
      <c r="J25" s="1" t="s">
        <v>71</v>
      </c>
      <c r="K25" s="2">
        <v>45288</v>
      </c>
      <c r="L25" s="2"/>
      <c r="O25" s="1" t="s">
        <v>146</v>
      </c>
      <c r="P25" s="2">
        <v>45281</v>
      </c>
      <c r="Q25" s="2">
        <v>45296</v>
      </c>
      <c r="X25" s="36" t="s">
        <v>45</v>
      </c>
      <c r="Y25" s="36" t="s">
        <v>50</v>
      </c>
      <c r="Z25" s="36" t="s">
        <v>51</v>
      </c>
      <c r="AA25" s="36" t="s">
        <v>52</v>
      </c>
      <c r="AB25" s="36" t="s">
        <v>51</v>
      </c>
      <c r="AC25" s="36" t="s">
        <v>54</v>
      </c>
      <c r="AD25" s="36" t="s">
        <v>45</v>
      </c>
    </row>
    <row r="26" spans="1:30" x14ac:dyDescent="0.25">
      <c r="A26" s="1" t="s">
        <v>31</v>
      </c>
      <c r="B26" s="1" t="s">
        <v>128</v>
      </c>
      <c r="C26" s="2">
        <v>45237</v>
      </c>
      <c r="D26" s="1" t="s">
        <v>129</v>
      </c>
      <c r="E26" s="1" t="s">
        <v>131</v>
      </c>
      <c r="F26" s="1" t="s">
        <v>54</v>
      </c>
      <c r="G26" s="1" t="s">
        <v>132</v>
      </c>
      <c r="H26" s="1" t="s">
        <v>133</v>
      </c>
      <c r="I26" s="1" t="s">
        <v>71</v>
      </c>
      <c r="J26" s="1" t="s">
        <v>71</v>
      </c>
      <c r="K26" s="2">
        <v>45288</v>
      </c>
      <c r="L26" s="2"/>
      <c r="O26" s="1" t="s">
        <v>146</v>
      </c>
      <c r="P26" s="2">
        <v>45281</v>
      </c>
      <c r="Q26" s="2">
        <v>45296</v>
      </c>
      <c r="Y26" s="32" t="s">
        <v>143</v>
      </c>
      <c r="AA26" s="33" t="s">
        <v>146</v>
      </c>
      <c r="AC26" s="47" t="s">
        <v>143</v>
      </c>
    </row>
    <row r="27" spans="1:30" x14ac:dyDescent="0.25">
      <c r="A27" s="1" t="s">
        <v>32</v>
      </c>
      <c r="B27" s="1" t="s">
        <v>128</v>
      </c>
      <c r="C27" s="2">
        <v>45237</v>
      </c>
      <c r="D27" s="1" t="s">
        <v>129</v>
      </c>
      <c r="E27" s="1" t="s">
        <v>131</v>
      </c>
      <c r="F27" s="1" t="s">
        <v>54</v>
      </c>
      <c r="G27" s="1" t="s">
        <v>132</v>
      </c>
      <c r="H27" s="1" t="s">
        <v>133</v>
      </c>
      <c r="I27" s="1" t="s">
        <v>71</v>
      </c>
      <c r="J27" s="1" t="s">
        <v>71</v>
      </c>
      <c r="K27" s="2">
        <v>45288</v>
      </c>
      <c r="L27" s="2"/>
      <c r="O27" s="1" t="s">
        <v>146</v>
      </c>
      <c r="P27" s="2">
        <v>45281</v>
      </c>
      <c r="Q27" s="2">
        <v>45296</v>
      </c>
      <c r="Y27" s="47" t="s">
        <v>144</v>
      </c>
      <c r="AA27" s="33" t="s">
        <v>147</v>
      </c>
      <c r="AC27" s="32" t="s">
        <v>144</v>
      </c>
    </row>
    <row r="28" spans="1:30" x14ac:dyDescent="0.25">
      <c r="A28" s="1" t="s">
        <v>33</v>
      </c>
      <c r="B28" s="1" t="s">
        <v>128</v>
      </c>
      <c r="C28" s="2">
        <v>45237</v>
      </c>
      <c r="D28" s="1" t="s">
        <v>129</v>
      </c>
      <c r="E28" s="1" t="s">
        <v>131</v>
      </c>
      <c r="F28" s="1" t="s">
        <v>54</v>
      </c>
      <c r="G28" s="1" t="s">
        <v>132</v>
      </c>
      <c r="H28" s="1" t="s">
        <v>133</v>
      </c>
      <c r="I28" s="1" t="s">
        <v>71</v>
      </c>
      <c r="J28" s="1" t="s">
        <v>71</v>
      </c>
      <c r="K28" s="2">
        <v>45288</v>
      </c>
      <c r="L28" s="2"/>
      <c r="O28" s="1" t="s">
        <v>148</v>
      </c>
      <c r="P28" s="2">
        <v>45281</v>
      </c>
      <c r="Q28" s="2">
        <v>45296</v>
      </c>
      <c r="Y28" s="32" t="s">
        <v>145</v>
      </c>
      <c r="AA28" s="46" t="s">
        <v>54</v>
      </c>
      <c r="AC28" s="47" t="s">
        <v>145</v>
      </c>
    </row>
    <row r="29" spans="1:30" x14ac:dyDescent="0.25">
      <c r="A29" s="1" t="s">
        <v>34</v>
      </c>
      <c r="B29" s="1" t="s">
        <v>128</v>
      </c>
      <c r="C29" s="2">
        <v>45237</v>
      </c>
      <c r="D29" s="1" t="s">
        <v>129</v>
      </c>
      <c r="E29" s="1" t="s">
        <v>131</v>
      </c>
      <c r="F29" s="1" t="s">
        <v>54</v>
      </c>
      <c r="G29" s="1" t="s">
        <v>132</v>
      </c>
      <c r="H29" s="1" t="s">
        <v>133</v>
      </c>
      <c r="I29" s="1" t="s">
        <v>71</v>
      </c>
      <c r="J29" s="1" t="s">
        <v>71</v>
      </c>
      <c r="K29" s="2">
        <v>45288</v>
      </c>
      <c r="L29" s="2"/>
      <c r="O29" s="1" t="s">
        <v>148</v>
      </c>
      <c r="P29" s="2">
        <v>45281</v>
      </c>
      <c r="Q29" s="2">
        <v>45296</v>
      </c>
    </row>
    <row r="30" spans="1:30" x14ac:dyDescent="0.25">
      <c r="A30" s="1" t="s">
        <v>35</v>
      </c>
      <c r="B30" s="1" t="s">
        <v>128</v>
      </c>
      <c r="C30" s="2">
        <v>45237</v>
      </c>
      <c r="D30" s="1" t="s">
        <v>129</v>
      </c>
      <c r="E30" s="1" t="s">
        <v>131</v>
      </c>
      <c r="F30" s="1" t="s">
        <v>54</v>
      </c>
      <c r="G30" s="1" t="s">
        <v>132</v>
      </c>
      <c r="H30" s="1" t="s">
        <v>133</v>
      </c>
      <c r="I30" s="1" t="s">
        <v>71</v>
      </c>
      <c r="J30" s="1" t="s">
        <v>71</v>
      </c>
      <c r="K30" s="2">
        <v>45287</v>
      </c>
      <c r="L30" s="2"/>
      <c r="O30" s="1" t="s">
        <v>147</v>
      </c>
      <c r="P30" s="2">
        <v>45281</v>
      </c>
      <c r="Q30" s="2">
        <v>45295</v>
      </c>
      <c r="X30" s="36" t="s">
        <v>45</v>
      </c>
      <c r="Y30" s="36" t="s">
        <v>50</v>
      </c>
      <c r="Z30" s="36" t="s">
        <v>51</v>
      </c>
      <c r="AA30" s="36" t="s">
        <v>52</v>
      </c>
      <c r="AB30" s="36" t="s">
        <v>51</v>
      </c>
      <c r="AC30" s="36" t="s">
        <v>54</v>
      </c>
      <c r="AD30" s="36" t="s">
        <v>45</v>
      </c>
    </row>
    <row r="31" spans="1:30" x14ac:dyDescent="0.25">
      <c r="A31" s="1" t="s">
        <v>36</v>
      </c>
      <c r="B31" s="1" t="s">
        <v>128</v>
      </c>
      <c r="C31" s="2">
        <v>45237</v>
      </c>
      <c r="D31" s="1" t="s">
        <v>129</v>
      </c>
      <c r="E31" s="1" t="s">
        <v>131</v>
      </c>
      <c r="F31" s="1" t="s">
        <v>54</v>
      </c>
      <c r="G31" s="1" t="s">
        <v>132</v>
      </c>
      <c r="H31" s="1" t="s">
        <v>133</v>
      </c>
      <c r="I31" s="1" t="s">
        <v>71</v>
      </c>
      <c r="J31" s="1" t="s">
        <v>71</v>
      </c>
      <c r="K31" s="2">
        <v>45287</v>
      </c>
      <c r="L31" s="2"/>
      <c r="O31" s="1" t="s">
        <v>147</v>
      </c>
      <c r="P31" s="2">
        <v>45281</v>
      </c>
      <c r="Q31" s="2">
        <v>45295</v>
      </c>
      <c r="Y31" s="46" t="s">
        <v>146</v>
      </c>
    </row>
    <row r="32" spans="1:30" x14ac:dyDescent="0.25">
      <c r="A32" s="1" t="s">
        <v>37</v>
      </c>
      <c r="B32" s="1" t="s">
        <v>128</v>
      </c>
      <c r="C32" s="2">
        <v>45237</v>
      </c>
      <c r="D32" s="1" t="s">
        <v>129</v>
      </c>
      <c r="E32" s="1" t="s">
        <v>131</v>
      </c>
      <c r="F32" s="1" t="s">
        <v>54</v>
      </c>
      <c r="G32" s="1" t="s">
        <v>132</v>
      </c>
      <c r="H32" s="1" t="s">
        <v>133</v>
      </c>
      <c r="I32" s="1" t="s">
        <v>71</v>
      </c>
      <c r="J32" s="1" t="s">
        <v>71</v>
      </c>
      <c r="K32" s="2">
        <v>45287</v>
      </c>
      <c r="L32" s="2"/>
      <c r="O32" s="1" t="s">
        <v>147</v>
      </c>
      <c r="P32" s="2">
        <v>45281</v>
      </c>
      <c r="Q32" s="2">
        <v>45295</v>
      </c>
      <c r="Y32" s="46" t="s">
        <v>147</v>
      </c>
    </row>
    <row r="33" spans="1:30" x14ac:dyDescent="0.25">
      <c r="A33" s="1" t="s">
        <v>38</v>
      </c>
      <c r="B33" s="1" t="s">
        <v>128</v>
      </c>
      <c r="C33" s="2">
        <v>45237</v>
      </c>
      <c r="D33" s="1" t="s">
        <v>129</v>
      </c>
      <c r="E33" s="1" t="s">
        <v>131</v>
      </c>
      <c r="F33" s="1" t="s">
        <v>54</v>
      </c>
      <c r="G33" s="1" t="s">
        <v>132</v>
      </c>
      <c r="H33" s="1" t="s">
        <v>133</v>
      </c>
      <c r="I33" s="1" t="s">
        <v>71</v>
      </c>
      <c r="J33" s="1" t="s">
        <v>71</v>
      </c>
      <c r="K33" s="2">
        <v>45287</v>
      </c>
      <c r="L33" s="2"/>
      <c r="O33" s="1" t="s">
        <v>147</v>
      </c>
      <c r="P33" s="2">
        <v>45281</v>
      </c>
      <c r="Q33" s="2">
        <v>45295</v>
      </c>
      <c r="Y33" s="33" t="s">
        <v>54</v>
      </c>
    </row>
    <row r="34" spans="1:30" x14ac:dyDescent="0.25">
      <c r="A34" s="1" t="s">
        <v>39</v>
      </c>
      <c r="B34" s="1" t="s">
        <v>128</v>
      </c>
      <c r="C34" s="2">
        <v>45237</v>
      </c>
      <c r="D34" s="1" t="s">
        <v>129</v>
      </c>
      <c r="E34" s="1" t="s">
        <v>131</v>
      </c>
      <c r="F34" s="1" t="s">
        <v>54</v>
      </c>
      <c r="G34" s="1" t="s">
        <v>132</v>
      </c>
      <c r="H34" s="1" t="s">
        <v>133</v>
      </c>
      <c r="I34" s="1" t="s">
        <v>71</v>
      </c>
      <c r="J34" s="1" t="s">
        <v>71</v>
      </c>
      <c r="K34" s="2">
        <v>45288</v>
      </c>
      <c r="L34" s="2"/>
      <c r="O34" s="1" t="s">
        <v>148</v>
      </c>
      <c r="P34" s="2">
        <v>45281</v>
      </c>
      <c r="Q34" s="2">
        <v>45296</v>
      </c>
    </row>
    <row r="35" spans="1:30" x14ac:dyDescent="0.25">
      <c r="A35" s="1" t="s">
        <v>40</v>
      </c>
      <c r="B35" s="1" t="s">
        <v>128</v>
      </c>
      <c r="C35" s="2">
        <v>45237</v>
      </c>
      <c r="D35" s="1" t="s">
        <v>129</v>
      </c>
      <c r="E35" s="1" t="s">
        <v>131</v>
      </c>
      <c r="F35" s="1" t="s">
        <v>54</v>
      </c>
      <c r="G35" s="1" t="s">
        <v>132</v>
      </c>
      <c r="H35" s="1" t="s">
        <v>133</v>
      </c>
      <c r="I35" s="1" t="s">
        <v>71</v>
      </c>
      <c r="J35" s="1" t="s">
        <v>71</v>
      </c>
      <c r="K35" s="2">
        <v>45288</v>
      </c>
      <c r="L35" s="2"/>
      <c r="O35" s="1" t="s">
        <v>148</v>
      </c>
      <c r="P35" s="2">
        <v>45281</v>
      </c>
      <c r="Q35" s="2">
        <v>45296</v>
      </c>
    </row>
    <row r="36" spans="1:30" x14ac:dyDescent="0.25">
      <c r="A36" s="1" t="s">
        <v>41</v>
      </c>
      <c r="B36" s="1" t="s">
        <v>128</v>
      </c>
      <c r="C36" s="2">
        <v>45237</v>
      </c>
      <c r="D36" s="1" t="s">
        <v>129</v>
      </c>
      <c r="E36" s="1" t="s">
        <v>131</v>
      </c>
      <c r="F36" s="1" t="s">
        <v>54</v>
      </c>
      <c r="G36" s="1" t="s">
        <v>132</v>
      </c>
      <c r="H36" s="1" t="s">
        <v>133</v>
      </c>
      <c r="I36" s="1" t="s">
        <v>71</v>
      </c>
      <c r="J36" s="1" t="s">
        <v>71</v>
      </c>
      <c r="K36" s="2">
        <v>45288</v>
      </c>
      <c r="L36" s="2"/>
      <c r="O36" s="1" t="s">
        <v>148</v>
      </c>
      <c r="P36" s="2">
        <v>45281</v>
      </c>
      <c r="Q36" s="2">
        <v>45296</v>
      </c>
    </row>
    <row r="37" spans="1:30" x14ac:dyDescent="0.25">
      <c r="A37" s="1" t="s">
        <v>42</v>
      </c>
      <c r="B37" s="1" t="s">
        <v>128</v>
      </c>
      <c r="C37" s="2">
        <v>45237</v>
      </c>
      <c r="D37" s="1" t="s">
        <v>129</v>
      </c>
      <c r="E37" s="1" t="s">
        <v>131</v>
      </c>
      <c r="F37" s="1" t="s">
        <v>54</v>
      </c>
      <c r="G37" s="1" t="s">
        <v>132</v>
      </c>
      <c r="H37" s="1" t="s">
        <v>133</v>
      </c>
      <c r="I37" s="1" t="s">
        <v>71</v>
      </c>
      <c r="J37" s="1" t="s">
        <v>71</v>
      </c>
      <c r="K37" s="2">
        <v>45288</v>
      </c>
      <c r="L37" s="2"/>
      <c r="O37" s="1" t="s">
        <v>148</v>
      </c>
      <c r="P37" s="2">
        <v>45281</v>
      </c>
      <c r="Q37" s="2">
        <v>45296</v>
      </c>
    </row>
    <row r="43" spans="1:30" x14ac:dyDescent="0.25">
      <c r="X43" s="28" t="s">
        <v>160</v>
      </c>
    </row>
    <row r="44" spans="1:30" x14ac:dyDescent="0.25">
      <c r="X44" s="36" t="s">
        <v>45</v>
      </c>
      <c r="Y44" s="36" t="s">
        <v>50</v>
      </c>
      <c r="Z44" s="36" t="s">
        <v>51</v>
      </c>
      <c r="AA44" s="36" t="s">
        <v>52</v>
      </c>
      <c r="AB44" s="36" t="s">
        <v>51</v>
      </c>
      <c r="AC44" s="36" t="s">
        <v>54</v>
      </c>
      <c r="AD44" s="36" t="s">
        <v>45</v>
      </c>
    </row>
    <row r="45" spans="1:30" x14ac:dyDescent="0.25">
      <c r="Y45" s="35" t="s">
        <v>145</v>
      </c>
      <c r="AA45" s="45" t="s">
        <v>143</v>
      </c>
      <c r="AC45" s="44" t="s">
        <v>54</v>
      </c>
      <c r="AD45" s="1"/>
    </row>
    <row r="46" spans="1:30" x14ac:dyDescent="0.25">
      <c r="Y46" s="44" t="s">
        <v>146</v>
      </c>
      <c r="AA46" s="35" t="s">
        <v>144</v>
      </c>
      <c r="AC46" s="45" t="s">
        <v>145</v>
      </c>
      <c r="AD46" s="1"/>
    </row>
    <row r="47" spans="1:30" x14ac:dyDescent="0.25">
      <c r="Y47" s="34" t="s">
        <v>54</v>
      </c>
      <c r="AA47" s="44" t="s">
        <v>147</v>
      </c>
      <c r="AC47" s="34" t="s">
        <v>146</v>
      </c>
      <c r="AD47" s="1"/>
    </row>
    <row r="49" spans="24:30" x14ac:dyDescent="0.25">
      <c r="X49" s="36" t="s">
        <v>45</v>
      </c>
      <c r="Y49" s="36" t="s">
        <v>50</v>
      </c>
      <c r="Z49" s="36" t="s">
        <v>51</v>
      </c>
      <c r="AA49" s="36" t="s">
        <v>52</v>
      </c>
      <c r="AB49" s="36" t="s">
        <v>51</v>
      </c>
      <c r="AC49" s="36" t="s">
        <v>54</v>
      </c>
      <c r="AD49" s="36" t="s">
        <v>45</v>
      </c>
    </row>
    <row r="50" spans="24:30" x14ac:dyDescent="0.25">
      <c r="Y50" s="34" t="s">
        <v>147</v>
      </c>
      <c r="AA50" s="33" t="s">
        <v>146</v>
      </c>
      <c r="AC50" s="47" t="s">
        <v>144</v>
      </c>
    </row>
    <row r="51" spans="24:30" x14ac:dyDescent="0.25">
      <c r="Y51" s="35" t="s">
        <v>143</v>
      </c>
      <c r="AA51" s="46" t="s">
        <v>54</v>
      </c>
      <c r="AC51" s="33" t="s">
        <v>147</v>
      </c>
    </row>
    <row r="52" spans="24:30" x14ac:dyDescent="0.25">
      <c r="Y52" s="45" t="s">
        <v>144</v>
      </c>
      <c r="AA52" s="32" t="s">
        <v>145</v>
      </c>
      <c r="AC52" s="47" t="s">
        <v>143</v>
      </c>
    </row>
    <row r="54" spans="24:30" x14ac:dyDescent="0.25">
      <c r="X54" s="36" t="s">
        <v>45</v>
      </c>
      <c r="Y54" s="36" t="s">
        <v>50</v>
      </c>
      <c r="Z54" s="36" t="s">
        <v>51</v>
      </c>
      <c r="AA54" s="36" t="s">
        <v>52</v>
      </c>
      <c r="AB54" s="36" t="s">
        <v>51</v>
      </c>
      <c r="AC54" s="36" t="s">
        <v>54</v>
      </c>
      <c r="AD54" s="36" t="s">
        <v>45</v>
      </c>
    </row>
    <row r="55" spans="24:30" x14ac:dyDescent="0.25">
      <c r="Y55" s="47" t="s">
        <v>145</v>
      </c>
      <c r="AA55" s="32" t="s">
        <v>143</v>
      </c>
      <c r="AC55" s="48"/>
    </row>
    <row r="56" spans="24:30" x14ac:dyDescent="0.25">
      <c r="Y56" s="46" t="s">
        <v>146</v>
      </c>
      <c r="AA56" s="32" t="s">
        <v>144</v>
      </c>
      <c r="AC56" s="49"/>
    </row>
    <row r="57" spans="24:30" x14ac:dyDescent="0.25">
      <c r="Y57" s="33" t="s">
        <v>54</v>
      </c>
      <c r="AA57" s="46" t="s">
        <v>147</v>
      </c>
      <c r="AC57" s="4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6AB-2189-F04B-8D3D-1EBAECDF816B}">
  <dimension ref="A1:AE91"/>
  <sheetViews>
    <sheetView topLeftCell="A18" zoomScale="86" workbookViewId="0">
      <selection activeCell="E31" sqref="E31:F31"/>
    </sheetView>
  </sheetViews>
  <sheetFormatPr defaultColWidth="10.875" defaultRowHeight="15" x14ac:dyDescent="0.2"/>
  <cols>
    <col min="1" max="1" width="16.5" style="1" bestFit="1" customWidth="1"/>
    <col min="2" max="2" width="16.5" style="1" customWidth="1"/>
    <col min="3" max="7" width="10.875" style="1"/>
    <col min="8" max="16384" width="10.875" style="3"/>
  </cols>
  <sheetData>
    <row r="1" spans="1:3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Q1" s="1" t="s">
        <v>6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Y1" s="1" t="s">
        <v>6</v>
      </c>
      <c r="Z1" s="1" t="s">
        <v>0</v>
      </c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</row>
    <row r="2" spans="1:31" x14ac:dyDescent="0.2">
      <c r="A2" s="1" t="s">
        <v>7</v>
      </c>
      <c r="B2" s="2">
        <v>45280</v>
      </c>
      <c r="C2" s="1">
        <v>6.66</v>
      </c>
      <c r="D2" s="1">
        <v>4.9400000000000004</v>
      </c>
      <c r="E2" s="1">
        <f>AVERAGE(C2:C3,C6)</f>
        <v>6.61</v>
      </c>
      <c r="F2" s="1">
        <f>AVERAGE(D3:D5)</f>
        <v>3.14</v>
      </c>
      <c r="G2" s="7">
        <f>F2/E2</f>
        <v>0.4750378214826021</v>
      </c>
      <c r="I2" s="1" t="s">
        <v>12</v>
      </c>
      <c r="J2" s="2">
        <v>45280</v>
      </c>
      <c r="K2" s="1">
        <v>10.46</v>
      </c>
      <c r="L2" s="1">
        <v>1.0900000000000001</v>
      </c>
      <c r="M2" s="1">
        <f>AVERAGE(K3:K4,K6)</f>
        <v>6.9466666666666681</v>
      </c>
      <c r="N2" s="1">
        <f>AVERAGE(L3:L4,L6)</f>
        <v>6.5533333333333337</v>
      </c>
      <c r="O2" s="1">
        <f>N2/M2</f>
        <v>0.94337811900191926</v>
      </c>
      <c r="Q2" s="3" t="s">
        <v>17</v>
      </c>
      <c r="R2" s="2">
        <v>45280</v>
      </c>
      <c r="S2" s="3">
        <v>4.0199999999999996</v>
      </c>
      <c r="T2" s="3">
        <v>3.71</v>
      </c>
      <c r="U2" s="1">
        <f>AVERAGE(S2:S4)</f>
        <v>5.2833333333333332</v>
      </c>
      <c r="V2" s="1">
        <f>AVERAGE(T3,T5:T6)</f>
        <v>4.8099999999999996</v>
      </c>
      <c r="W2" s="1">
        <f>V2/U2</f>
        <v>0.91041009463722389</v>
      </c>
      <c r="Y2" s="3" t="s">
        <v>21</v>
      </c>
      <c r="Z2" s="2">
        <v>45280</v>
      </c>
      <c r="AA2" s="3">
        <v>7</v>
      </c>
      <c r="AB2" s="3">
        <v>7.8</v>
      </c>
      <c r="AC2" s="1">
        <f>AVERAGE(AA4:AA6)</f>
        <v>6.0166666666666666</v>
      </c>
      <c r="AD2" s="1">
        <f>AVERAGE(AB3,AB5:AB6)</f>
        <v>6.6500000000000012</v>
      </c>
      <c r="AE2" s="1">
        <f>AD2/AC2</f>
        <v>1.1052631578947372</v>
      </c>
    </row>
    <row r="3" spans="1:31" x14ac:dyDescent="0.2">
      <c r="A3" s="1" t="s">
        <v>7</v>
      </c>
      <c r="B3" s="2">
        <v>45280</v>
      </c>
      <c r="C3" s="1">
        <v>6.53</v>
      </c>
      <c r="D3" s="1">
        <v>2.92</v>
      </c>
      <c r="I3" s="1" t="s">
        <v>12</v>
      </c>
      <c r="J3" s="2">
        <v>45280</v>
      </c>
      <c r="K3" s="1">
        <v>6.01</v>
      </c>
      <c r="L3" s="1">
        <v>4.78</v>
      </c>
      <c r="M3" s="1"/>
      <c r="N3" s="1"/>
      <c r="O3" s="1"/>
      <c r="Q3" s="3" t="s">
        <v>17</v>
      </c>
      <c r="R3" s="2">
        <v>45280</v>
      </c>
      <c r="S3" s="3">
        <v>7</v>
      </c>
      <c r="T3" s="3">
        <v>3.86</v>
      </c>
      <c r="U3" s="1"/>
      <c r="V3" s="1"/>
      <c r="W3" s="1"/>
      <c r="Y3" s="3" t="s">
        <v>21</v>
      </c>
      <c r="Z3" s="2">
        <v>45280</v>
      </c>
      <c r="AA3" s="3">
        <v>4.42</v>
      </c>
      <c r="AB3" s="3">
        <v>7.2</v>
      </c>
      <c r="AC3" s="1"/>
      <c r="AD3" s="1"/>
      <c r="AE3" s="1"/>
    </row>
    <row r="4" spans="1:31" x14ac:dyDescent="0.2">
      <c r="A4" s="1" t="s">
        <v>7</v>
      </c>
      <c r="B4" s="2">
        <v>45280</v>
      </c>
      <c r="C4" s="1">
        <v>10.24</v>
      </c>
      <c r="D4" s="1">
        <v>3.98</v>
      </c>
      <c r="I4" s="1" t="s">
        <v>12</v>
      </c>
      <c r="J4" s="2">
        <v>45280</v>
      </c>
      <c r="K4" s="1">
        <v>6.11</v>
      </c>
      <c r="L4" s="1">
        <v>6.06</v>
      </c>
      <c r="M4" s="1"/>
      <c r="N4" s="1"/>
      <c r="O4" s="1"/>
      <c r="Q4" s="3" t="s">
        <v>17</v>
      </c>
      <c r="R4" s="2">
        <v>45280</v>
      </c>
      <c r="S4" s="3">
        <v>4.83</v>
      </c>
      <c r="T4" s="3">
        <v>8.1300000000000008</v>
      </c>
      <c r="U4" s="1"/>
      <c r="V4" s="1"/>
      <c r="W4" s="1"/>
      <c r="Y4" s="3" t="s">
        <v>21</v>
      </c>
      <c r="Z4" s="2">
        <v>45280</v>
      </c>
      <c r="AA4" s="3">
        <v>6.99</v>
      </c>
      <c r="AB4" s="3">
        <v>3.35</v>
      </c>
      <c r="AC4" s="1"/>
      <c r="AD4" s="1"/>
      <c r="AE4" s="1"/>
    </row>
    <row r="5" spans="1:31" x14ac:dyDescent="0.2">
      <c r="A5" s="1" t="s">
        <v>7</v>
      </c>
      <c r="B5" s="2">
        <v>45280</v>
      </c>
      <c r="C5" s="1">
        <v>4.51</v>
      </c>
      <c r="D5" s="1">
        <v>2.52</v>
      </c>
      <c r="I5" s="1" t="s">
        <v>12</v>
      </c>
      <c r="J5" s="2">
        <v>45280</v>
      </c>
      <c r="K5" s="1">
        <v>2.44</v>
      </c>
      <c r="L5" s="1">
        <v>6.73</v>
      </c>
      <c r="M5" s="1"/>
      <c r="N5" s="1"/>
      <c r="O5" s="1"/>
      <c r="Q5" s="3" t="s">
        <v>17</v>
      </c>
      <c r="R5" s="2">
        <v>45280</v>
      </c>
      <c r="S5" s="3">
        <v>8.2899999999999991</v>
      </c>
      <c r="T5" s="3">
        <v>5.36</v>
      </c>
      <c r="U5" s="1"/>
      <c r="V5" s="1"/>
      <c r="W5" s="1"/>
      <c r="Y5" s="3" t="s">
        <v>21</v>
      </c>
      <c r="Z5" s="2">
        <v>45280</v>
      </c>
      <c r="AA5" s="3">
        <v>5.83</v>
      </c>
      <c r="AB5" s="3">
        <v>5.51</v>
      </c>
      <c r="AC5" s="1"/>
      <c r="AD5" s="1"/>
      <c r="AE5" s="1"/>
    </row>
    <row r="6" spans="1:31" x14ac:dyDescent="0.2">
      <c r="A6" s="1" t="s">
        <v>7</v>
      </c>
      <c r="B6" s="2">
        <v>45280</v>
      </c>
      <c r="C6" s="1">
        <v>6.64</v>
      </c>
      <c r="D6" s="1">
        <v>2.29</v>
      </c>
      <c r="I6" s="1" t="s">
        <v>12</v>
      </c>
      <c r="J6" s="2">
        <v>45280</v>
      </c>
      <c r="K6" s="1">
        <v>8.7200000000000006</v>
      </c>
      <c r="L6" s="1">
        <v>8.82</v>
      </c>
      <c r="M6" s="1"/>
      <c r="N6" s="1"/>
      <c r="O6" s="1"/>
      <c r="Q6" s="3" t="s">
        <v>17</v>
      </c>
      <c r="R6" s="2">
        <v>45280</v>
      </c>
      <c r="S6" s="3">
        <v>3.5</v>
      </c>
      <c r="T6" s="3">
        <v>5.21</v>
      </c>
      <c r="U6" s="1"/>
      <c r="V6" s="1"/>
      <c r="W6" s="1"/>
      <c r="Y6" s="3" t="s">
        <v>21</v>
      </c>
      <c r="Z6" s="2">
        <v>45280</v>
      </c>
      <c r="AA6" s="3">
        <v>5.23</v>
      </c>
      <c r="AB6" s="3">
        <v>7.24</v>
      </c>
      <c r="AC6" s="1"/>
      <c r="AD6" s="1"/>
      <c r="AE6" s="1"/>
    </row>
    <row r="7" spans="1:31" s="6" customFormat="1" x14ac:dyDescent="0.2">
      <c r="A7" s="4" t="s">
        <v>8</v>
      </c>
      <c r="B7" s="5">
        <v>45280</v>
      </c>
      <c r="C7" s="4">
        <v>6.93</v>
      </c>
      <c r="D7" s="4">
        <v>7.3</v>
      </c>
      <c r="E7" s="4">
        <f>AVERAGE(C7,C9:C10)</f>
        <v>6.7033333333333331</v>
      </c>
      <c r="F7" s="4">
        <f>AVERAGE(D7,D10:D11)</f>
        <v>6.2866666666666662</v>
      </c>
      <c r="G7" s="4">
        <f>F7/E7</f>
        <v>0.93784186971655892</v>
      </c>
      <c r="I7" s="4" t="s">
        <v>13</v>
      </c>
      <c r="J7" s="5">
        <v>45280</v>
      </c>
      <c r="K7" s="4">
        <v>5</v>
      </c>
      <c r="L7" s="4">
        <v>7.56</v>
      </c>
      <c r="M7" s="4">
        <f>AVERAGE(K9:K10,K7)</f>
        <v>5.0233333333333334</v>
      </c>
      <c r="N7" s="4">
        <f>AVERAGE(L7:L9)</f>
        <v>6.46</v>
      </c>
      <c r="O7" s="4">
        <f>N7/M7</f>
        <v>1.2859986728599866</v>
      </c>
      <c r="Q7" s="6" t="s">
        <v>18</v>
      </c>
      <c r="R7" s="5">
        <v>45280</v>
      </c>
      <c r="S7" s="6">
        <v>5.85</v>
      </c>
      <c r="T7" s="6">
        <v>2.9</v>
      </c>
      <c r="U7" s="4">
        <f>AVERAGE(S7:S9)</f>
        <v>5.253333333333333</v>
      </c>
      <c r="V7" s="4">
        <f>AVERAGE(T8:T10)</f>
        <v>4.833333333333333</v>
      </c>
      <c r="W7" s="4">
        <f>V7/U7</f>
        <v>0.92005076142131981</v>
      </c>
      <c r="Y7" s="6" t="s">
        <v>22</v>
      </c>
      <c r="Z7" s="5">
        <v>45280</v>
      </c>
      <c r="AA7" s="6">
        <v>3.7</v>
      </c>
      <c r="AB7" s="6">
        <v>9.6199999999999992</v>
      </c>
      <c r="AC7" s="4">
        <f>AVERAGE(AA8:AA9,AA11)</f>
        <v>4.3833333333333337</v>
      </c>
      <c r="AD7" s="4">
        <f>AVERAGE(AB8:AB9,AB11)</f>
        <v>5.503333333333333</v>
      </c>
      <c r="AE7" s="4">
        <f>AD7/AC7</f>
        <v>1.2555133079847907</v>
      </c>
    </row>
    <row r="8" spans="1:31" s="6" customFormat="1" x14ac:dyDescent="0.2">
      <c r="A8" s="4" t="s">
        <v>8</v>
      </c>
      <c r="B8" s="5">
        <v>45280</v>
      </c>
      <c r="C8" s="4">
        <v>4.74</v>
      </c>
      <c r="D8" s="4">
        <v>2.68</v>
      </c>
      <c r="E8" s="4"/>
      <c r="F8" s="4"/>
      <c r="G8" s="4"/>
      <c r="I8" s="4" t="s">
        <v>13</v>
      </c>
      <c r="J8" s="5">
        <v>45280</v>
      </c>
      <c r="K8" s="4">
        <v>8.01</v>
      </c>
      <c r="L8" s="4">
        <v>4.2300000000000004</v>
      </c>
      <c r="M8" s="4"/>
      <c r="N8" s="4"/>
      <c r="O8" s="4"/>
      <c r="Q8" s="6" t="s">
        <v>18</v>
      </c>
      <c r="R8" s="5">
        <v>45280</v>
      </c>
      <c r="S8" s="6">
        <v>5.35</v>
      </c>
      <c r="T8" s="6">
        <v>6.06</v>
      </c>
      <c r="U8" s="4"/>
      <c r="V8" s="4"/>
      <c r="W8" s="4"/>
      <c r="Y8" s="6" t="s">
        <v>22</v>
      </c>
      <c r="Z8" s="5">
        <v>45280</v>
      </c>
      <c r="AA8" s="6">
        <v>3.84</v>
      </c>
      <c r="AB8" s="6">
        <v>6.55</v>
      </c>
      <c r="AC8" s="4"/>
      <c r="AD8" s="4"/>
      <c r="AE8" s="4"/>
    </row>
    <row r="9" spans="1:31" s="6" customFormat="1" x14ac:dyDescent="0.2">
      <c r="A9" s="4" t="s">
        <v>8</v>
      </c>
      <c r="B9" s="5">
        <v>45280</v>
      </c>
      <c r="C9" s="4">
        <v>5.47</v>
      </c>
      <c r="D9" s="4">
        <v>8.81</v>
      </c>
      <c r="E9" s="4"/>
      <c r="F9" s="4"/>
      <c r="G9" s="4"/>
      <c r="I9" s="4" t="s">
        <v>13</v>
      </c>
      <c r="J9" s="5">
        <v>45280</v>
      </c>
      <c r="K9" s="4">
        <v>4.9000000000000004</v>
      </c>
      <c r="L9" s="4">
        <v>7.59</v>
      </c>
      <c r="M9" s="4"/>
      <c r="N9" s="4"/>
      <c r="O9" s="4"/>
      <c r="Q9" s="6" t="s">
        <v>18</v>
      </c>
      <c r="R9" s="5">
        <v>45280</v>
      </c>
      <c r="S9" s="6">
        <v>4.5599999999999996</v>
      </c>
      <c r="T9" s="6">
        <v>3.85</v>
      </c>
      <c r="U9" s="4"/>
      <c r="V9" s="4"/>
      <c r="W9" s="4"/>
      <c r="Y9" s="6" t="s">
        <v>22</v>
      </c>
      <c r="Z9" s="5">
        <v>45280</v>
      </c>
      <c r="AA9" s="6">
        <v>5.4</v>
      </c>
      <c r="AB9" s="6">
        <v>5.14</v>
      </c>
      <c r="AC9" s="4"/>
      <c r="AD9" s="4"/>
      <c r="AE9" s="4"/>
    </row>
    <row r="10" spans="1:31" s="6" customFormat="1" x14ac:dyDescent="0.2">
      <c r="A10" s="4" t="s">
        <v>8</v>
      </c>
      <c r="B10" s="5">
        <v>45280</v>
      </c>
      <c r="C10" s="4">
        <v>7.71</v>
      </c>
      <c r="D10" s="4">
        <v>7.99</v>
      </c>
      <c r="E10" s="4"/>
      <c r="F10" s="4"/>
      <c r="G10" s="4"/>
      <c r="I10" s="4" t="s">
        <v>13</v>
      </c>
      <c r="J10" s="5">
        <v>45280</v>
      </c>
      <c r="K10" s="4">
        <v>5.17</v>
      </c>
      <c r="L10" s="4">
        <v>4.1900000000000004</v>
      </c>
      <c r="M10" s="4"/>
      <c r="N10" s="4"/>
      <c r="O10" s="4"/>
      <c r="Q10" s="6" t="s">
        <v>18</v>
      </c>
      <c r="R10" s="5">
        <v>45280</v>
      </c>
      <c r="S10" s="6">
        <v>4.3099999999999996</v>
      </c>
      <c r="T10" s="6">
        <v>4.59</v>
      </c>
      <c r="U10" s="4"/>
      <c r="V10" s="4"/>
      <c r="W10" s="4"/>
      <c r="Y10" s="6" t="s">
        <v>22</v>
      </c>
      <c r="Z10" s="5">
        <v>45280</v>
      </c>
      <c r="AA10" s="6">
        <v>6.26</v>
      </c>
      <c r="AB10" s="6">
        <v>3.53</v>
      </c>
      <c r="AC10" s="4"/>
      <c r="AD10" s="4"/>
      <c r="AE10" s="4"/>
    </row>
    <row r="11" spans="1:31" s="6" customFormat="1" x14ac:dyDescent="0.2">
      <c r="A11" s="4" t="s">
        <v>8</v>
      </c>
      <c r="B11" s="5">
        <v>45280</v>
      </c>
      <c r="C11" s="4">
        <v>8.7200000000000006</v>
      </c>
      <c r="D11" s="4">
        <v>3.57</v>
      </c>
      <c r="E11" s="4"/>
      <c r="F11" s="4"/>
      <c r="G11" s="4"/>
      <c r="I11" s="4" t="s">
        <v>13</v>
      </c>
      <c r="J11" s="5">
        <v>45280</v>
      </c>
      <c r="K11" s="4">
        <v>3.3</v>
      </c>
      <c r="L11" s="4">
        <v>10.56</v>
      </c>
      <c r="M11" s="4"/>
      <c r="N11" s="4"/>
      <c r="O11" s="4"/>
      <c r="Q11" s="6" t="s">
        <v>18</v>
      </c>
      <c r="R11" s="5">
        <v>45280</v>
      </c>
      <c r="S11" s="6">
        <v>11.27</v>
      </c>
      <c r="T11" s="6">
        <v>8.06</v>
      </c>
      <c r="U11" s="4"/>
      <c r="V11" s="4"/>
      <c r="W11" s="4"/>
      <c r="Y11" s="6" t="s">
        <v>22</v>
      </c>
      <c r="Z11" s="5">
        <v>45280</v>
      </c>
      <c r="AA11" s="6">
        <v>3.91</v>
      </c>
      <c r="AB11" s="6">
        <v>4.82</v>
      </c>
      <c r="AC11" s="4"/>
      <c r="AD11" s="4"/>
      <c r="AE11" s="4"/>
    </row>
    <row r="12" spans="1:31" x14ac:dyDescent="0.2">
      <c r="A12" s="1" t="s">
        <v>9</v>
      </c>
      <c r="B12" s="2">
        <v>45280</v>
      </c>
      <c r="C12" s="1">
        <v>3.72</v>
      </c>
      <c r="D12" s="1">
        <v>6.22</v>
      </c>
      <c r="E12" s="1">
        <f>AVERAGE(C12:C14)</f>
        <v>3.8466666666666662</v>
      </c>
      <c r="F12" s="1">
        <f>AVERAGE(D12:D13,D16)</f>
        <v>6.38</v>
      </c>
      <c r="G12" s="1">
        <f>F12/E12</f>
        <v>1.6585788561525132</v>
      </c>
      <c r="I12" s="1" t="s">
        <v>14</v>
      </c>
      <c r="J12" s="2">
        <v>45280</v>
      </c>
      <c r="K12" s="1">
        <v>3.53</v>
      </c>
      <c r="L12" s="1">
        <v>10.27</v>
      </c>
      <c r="M12" s="1">
        <f>AVERAGE(K13:K14,K16)</f>
        <v>7.69</v>
      </c>
      <c r="N12" s="1">
        <f>AVERAGE(L13:L15)</f>
        <v>6.876666666666666</v>
      </c>
      <c r="O12" s="1">
        <f>N12/M12</f>
        <v>0.89423493714781088</v>
      </c>
      <c r="Q12" s="3" t="s">
        <v>19</v>
      </c>
      <c r="R12" s="2">
        <v>45280</v>
      </c>
      <c r="S12" s="3">
        <v>5.85</v>
      </c>
      <c r="T12" s="3">
        <v>7.33</v>
      </c>
      <c r="U12" s="1">
        <f>AVERAGE(S12,S14,S16)</f>
        <v>5.7766666666666673</v>
      </c>
      <c r="V12" s="1">
        <f>AVERAGE(T12:T14)</f>
        <v>7.4433333333333325</v>
      </c>
      <c r="W12" s="1">
        <f>V12/U12</f>
        <v>1.2885170225043274</v>
      </c>
      <c r="Y12" s="3" t="s">
        <v>23</v>
      </c>
      <c r="Z12" s="2">
        <v>45280</v>
      </c>
      <c r="AA12" s="3">
        <v>4.6100000000000003</v>
      </c>
      <c r="AB12" s="3">
        <v>4.74</v>
      </c>
      <c r="AC12" s="1">
        <f>AVERAGE(AA12,AA14,AA16)</f>
        <v>7.416666666666667</v>
      </c>
      <c r="AD12" s="1">
        <f>AVERAGE(AB15:AB16,AB12)</f>
        <v>6.336666666666666</v>
      </c>
      <c r="AE12" s="1">
        <f>AD12/AC12</f>
        <v>0.85438202247190997</v>
      </c>
    </row>
    <row r="13" spans="1:31" x14ac:dyDescent="0.2">
      <c r="A13" s="1" t="s">
        <v>9</v>
      </c>
      <c r="B13" s="2">
        <v>45280</v>
      </c>
      <c r="C13" s="1">
        <v>4.8600000000000003</v>
      </c>
      <c r="D13" s="1">
        <v>5.24</v>
      </c>
      <c r="I13" s="1" t="s">
        <v>14</v>
      </c>
      <c r="J13" s="2">
        <v>45280</v>
      </c>
      <c r="K13" s="1">
        <v>7.7</v>
      </c>
      <c r="L13" s="1">
        <v>4.47</v>
      </c>
      <c r="M13" s="1"/>
      <c r="N13" s="1"/>
      <c r="O13" s="1"/>
      <c r="Q13" s="3" t="s">
        <v>19</v>
      </c>
      <c r="R13" s="2">
        <v>45280</v>
      </c>
      <c r="S13" s="3">
        <v>7.54</v>
      </c>
      <c r="T13" s="3">
        <v>6.22</v>
      </c>
      <c r="U13" s="1"/>
      <c r="V13" s="1"/>
      <c r="W13" s="1"/>
      <c r="Y13" s="3" t="s">
        <v>23</v>
      </c>
      <c r="Z13" s="2">
        <v>45280</v>
      </c>
      <c r="AA13" s="3">
        <v>2.79</v>
      </c>
      <c r="AB13" s="3">
        <v>1</v>
      </c>
      <c r="AC13" s="1"/>
      <c r="AD13" s="1"/>
      <c r="AE13" s="1"/>
    </row>
    <row r="14" spans="1:31" x14ac:dyDescent="0.2">
      <c r="A14" s="1" t="s">
        <v>9</v>
      </c>
      <c r="B14" s="2">
        <v>45280</v>
      </c>
      <c r="C14" s="1">
        <v>2.96</v>
      </c>
      <c r="D14" s="1">
        <v>4.93</v>
      </c>
      <c r="I14" s="1" t="s">
        <v>14</v>
      </c>
      <c r="J14" s="2">
        <v>45280</v>
      </c>
      <c r="K14" s="1">
        <v>8.5500000000000007</v>
      </c>
      <c r="L14" s="1">
        <v>9.34</v>
      </c>
      <c r="M14" s="1"/>
      <c r="N14" s="1"/>
      <c r="O14" s="1"/>
      <c r="Q14" s="3" t="s">
        <v>19</v>
      </c>
      <c r="R14" s="2">
        <v>45280</v>
      </c>
      <c r="S14" s="3">
        <v>5.61</v>
      </c>
      <c r="T14" s="3">
        <v>8.7799999999999994</v>
      </c>
      <c r="U14" s="1"/>
      <c r="V14" s="1"/>
      <c r="W14" s="1"/>
      <c r="Y14" s="3" t="s">
        <v>23</v>
      </c>
      <c r="Z14" s="2">
        <v>45280</v>
      </c>
      <c r="AA14" s="3">
        <v>9.1</v>
      </c>
      <c r="AB14" s="3">
        <v>9.57</v>
      </c>
      <c r="AC14" s="1"/>
      <c r="AD14" s="1"/>
      <c r="AE14" s="1"/>
    </row>
    <row r="15" spans="1:31" x14ac:dyDescent="0.2">
      <c r="A15" s="1" t="s">
        <v>9</v>
      </c>
      <c r="B15" s="2">
        <v>45280</v>
      </c>
      <c r="C15" s="1">
        <v>1.83</v>
      </c>
      <c r="D15" s="1">
        <v>11.18</v>
      </c>
      <c r="I15" s="1" t="s">
        <v>14</v>
      </c>
      <c r="J15" s="2">
        <v>45280</v>
      </c>
      <c r="K15" s="1">
        <v>10.86</v>
      </c>
      <c r="L15" s="1">
        <v>6.82</v>
      </c>
      <c r="M15" s="1"/>
      <c r="N15" s="1"/>
      <c r="O15" s="1"/>
      <c r="Q15" s="3" t="s">
        <v>19</v>
      </c>
      <c r="R15" s="2">
        <v>45280</v>
      </c>
      <c r="S15" s="3">
        <v>3.16</v>
      </c>
      <c r="T15" s="3">
        <v>8.7799999999999994</v>
      </c>
      <c r="U15" s="1"/>
      <c r="V15" s="1"/>
      <c r="W15" s="1"/>
      <c r="Y15" s="3" t="s">
        <v>23</v>
      </c>
      <c r="Z15" s="2">
        <v>45280</v>
      </c>
      <c r="AA15" s="3">
        <v>9.5500000000000007</v>
      </c>
      <c r="AB15" s="3">
        <v>9.4600000000000009</v>
      </c>
      <c r="AC15" s="1"/>
      <c r="AD15" s="1"/>
      <c r="AE15" s="1"/>
    </row>
    <row r="16" spans="1:31" x14ac:dyDescent="0.2">
      <c r="A16" s="1" t="s">
        <v>9</v>
      </c>
      <c r="B16" s="2">
        <v>45280</v>
      </c>
      <c r="C16" s="1">
        <v>6.78</v>
      </c>
      <c r="D16" s="1">
        <v>7.68</v>
      </c>
      <c r="I16" s="1" t="s">
        <v>14</v>
      </c>
      <c r="J16" s="2">
        <v>45280</v>
      </c>
      <c r="K16" s="1">
        <v>6.82</v>
      </c>
      <c r="L16" s="1">
        <v>3.28</v>
      </c>
      <c r="M16" s="1"/>
      <c r="N16" s="1"/>
      <c r="O16" s="1"/>
      <c r="Q16" s="3" t="s">
        <v>19</v>
      </c>
      <c r="R16" s="2">
        <v>45280</v>
      </c>
      <c r="S16" s="3">
        <v>5.87</v>
      </c>
      <c r="T16" s="3">
        <v>5.2</v>
      </c>
      <c r="U16" s="1"/>
      <c r="V16" s="1"/>
      <c r="W16" s="1"/>
      <c r="Y16" s="3" t="s">
        <v>23</v>
      </c>
      <c r="Z16" s="2">
        <v>45280</v>
      </c>
      <c r="AA16" s="3">
        <v>8.5399999999999991</v>
      </c>
      <c r="AB16" s="3">
        <v>4.8099999999999996</v>
      </c>
      <c r="AC16" s="1"/>
      <c r="AD16" s="1"/>
      <c r="AE16" s="1"/>
    </row>
    <row r="17" spans="1:31" s="6" customFormat="1" x14ac:dyDescent="0.2">
      <c r="A17" s="4" t="s">
        <v>10</v>
      </c>
      <c r="B17" s="5">
        <v>45280</v>
      </c>
      <c r="C17" s="4">
        <v>2.21</v>
      </c>
      <c r="D17" s="4">
        <v>1.71</v>
      </c>
      <c r="E17" s="4">
        <f>AVERAGE(C17,C19:C20)</f>
        <v>4.3633333333333333</v>
      </c>
      <c r="F17" s="4">
        <f>AVERAGE(D18:D19,D21)</f>
        <v>3.6933333333333334</v>
      </c>
      <c r="G17" s="4">
        <f>F17/E17</f>
        <v>0.84644766997708176</v>
      </c>
      <c r="I17" s="4" t="s">
        <v>15</v>
      </c>
      <c r="J17" s="5">
        <v>45280</v>
      </c>
      <c r="K17" s="4">
        <v>6.14</v>
      </c>
      <c r="L17" s="4">
        <v>5.9</v>
      </c>
      <c r="M17" s="4">
        <f>AVERAGE(K17,K19,K21)</f>
        <v>6.3666666666666663</v>
      </c>
      <c r="N17" s="4">
        <f>AVERAGE(L18:L19,L21)</f>
        <v>7.4333333333333336</v>
      </c>
      <c r="O17" s="4">
        <f>N17/M17</f>
        <v>1.167539267015707</v>
      </c>
      <c r="Q17" s="6" t="s">
        <v>20</v>
      </c>
      <c r="R17" s="5">
        <v>45280</v>
      </c>
      <c r="S17" s="6">
        <v>5.28</v>
      </c>
      <c r="T17" s="6">
        <v>5.19</v>
      </c>
      <c r="U17" s="4">
        <f>AVERAGE(S17,S19,S21)</f>
        <v>5.2166666666666668</v>
      </c>
      <c r="V17" s="4">
        <f>AVERAGE(T17:T19)</f>
        <v>5.45</v>
      </c>
      <c r="W17" s="4">
        <f>V17/U17</f>
        <v>1.0447284345047922</v>
      </c>
      <c r="Y17" s="6" t="s">
        <v>24</v>
      </c>
      <c r="Z17" s="5">
        <v>45280</v>
      </c>
      <c r="AA17" s="6">
        <v>1.04</v>
      </c>
      <c r="AB17" s="6">
        <v>4.5599999999999996</v>
      </c>
      <c r="AC17" s="4">
        <f>AVERAGE(AA18:AA19,AA21)</f>
        <v>5.4833333333333334</v>
      </c>
      <c r="AD17" s="4">
        <f>AVERAGE(AB17,AB19:AB20)</f>
        <v>3.6266666666666665</v>
      </c>
      <c r="AE17" s="4">
        <f>AD17/AC17</f>
        <v>0.66139817629179332</v>
      </c>
    </row>
    <row r="18" spans="1:31" s="6" customFormat="1" x14ac:dyDescent="0.2">
      <c r="A18" s="4" t="s">
        <v>10</v>
      </c>
      <c r="B18" s="5">
        <v>45280</v>
      </c>
      <c r="C18" s="4">
        <v>7.83</v>
      </c>
      <c r="D18" s="4">
        <v>4</v>
      </c>
      <c r="E18" s="4"/>
      <c r="F18" s="4"/>
      <c r="G18" s="4"/>
      <c r="I18" s="4" t="s">
        <v>15</v>
      </c>
      <c r="J18" s="5">
        <v>45280</v>
      </c>
      <c r="K18" s="4">
        <v>8.35</v>
      </c>
      <c r="L18" s="4">
        <v>6.49</v>
      </c>
      <c r="M18" s="4"/>
      <c r="N18" s="4"/>
      <c r="O18" s="4"/>
      <c r="Q18" s="6" t="s">
        <v>20</v>
      </c>
      <c r="R18" s="5">
        <v>45280</v>
      </c>
      <c r="S18" s="6">
        <v>7.9</v>
      </c>
      <c r="T18" s="6">
        <v>4.97</v>
      </c>
      <c r="W18" s="4"/>
      <c r="Y18" s="6" t="s">
        <v>24</v>
      </c>
      <c r="Z18" s="5">
        <v>45280</v>
      </c>
      <c r="AA18" s="6">
        <v>7.63</v>
      </c>
      <c r="AB18" s="6">
        <v>7.54</v>
      </c>
      <c r="AE18" s="4"/>
    </row>
    <row r="19" spans="1:31" s="6" customFormat="1" x14ac:dyDescent="0.2">
      <c r="A19" s="4" t="s">
        <v>10</v>
      </c>
      <c r="B19" s="5">
        <v>45280</v>
      </c>
      <c r="C19" s="4">
        <v>4.0999999999999996</v>
      </c>
      <c r="D19" s="4">
        <v>4.49</v>
      </c>
      <c r="E19" s="4"/>
      <c r="F19" s="4"/>
      <c r="G19" s="4"/>
      <c r="I19" s="4" t="s">
        <v>15</v>
      </c>
      <c r="J19" s="5">
        <v>45280</v>
      </c>
      <c r="K19" s="4">
        <v>7.26</v>
      </c>
      <c r="L19" s="4">
        <v>8.6</v>
      </c>
      <c r="M19" s="4"/>
      <c r="N19" s="4"/>
      <c r="O19" s="4"/>
      <c r="Q19" s="6" t="s">
        <v>20</v>
      </c>
      <c r="R19" s="5">
        <v>45280</v>
      </c>
      <c r="S19" s="6">
        <v>3.72</v>
      </c>
      <c r="T19" s="6">
        <v>6.19</v>
      </c>
      <c r="W19" s="4"/>
      <c r="Y19" s="6" t="s">
        <v>24</v>
      </c>
      <c r="Z19" s="5">
        <v>45280</v>
      </c>
      <c r="AA19" s="6">
        <v>5.94</v>
      </c>
      <c r="AB19" s="6">
        <v>3.25</v>
      </c>
      <c r="AE19" s="4"/>
    </row>
    <row r="20" spans="1:31" s="6" customFormat="1" x14ac:dyDescent="0.2">
      <c r="A20" s="4" t="s">
        <v>10</v>
      </c>
      <c r="B20" s="5">
        <v>45280</v>
      </c>
      <c r="C20" s="4">
        <v>6.78</v>
      </c>
      <c r="D20" s="4">
        <v>5.28</v>
      </c>
      <c r="E20" s="4"/>
      <c r="F20" s="4"/>
      <c r="G20" s="4"/>
      <c r="I20" s="4" t="s">
        <v>15</v>
      </c>
      <c r="J20" s="5">
        <v>45280</v>
      </c>
      <c r="K20" s="4">
        <v>3.6</v>
      </c>
      <c r="L20" s="4">
        <v>9.91</v>
      </c>
      <c r="M20" s="4"/>
      <c r="N20" s="4"/>
      <c r="O20" s="4"/>
      <c r="Q20" s="6" t="s">
        <v>20</v>
      </c>
      <c r="R20" s="5">
        <v>45280</v>
      </c>
      <c r="S20" s="6">
        <v>2.09</v>
      </c>
      <c r="T20" s="6">
        <v>0.98</v>
      </c>
      <c r="W20" s="4"/>
      <c r="Y20" s="6" t="s">
        <v>24</v>
      </c>
      <c r="Z20" s="5">
        <v>45280</v>
      </c>
      <c r="AA20" s="6">
        <v>9.36</v>
      </c>
      <c r="AB20" s="6">
        <v>3.07</v>
      </c>
      <c r="AE20" s="4"/>
    </row>
    <row r="21" spans="1:31" s="6" customFormat="1" x14ac:dyDescent="0.2">
      <c r="A21" s="4" t="s">
        <v>10</v>
      </c>
      <c r="B21" s="5">
        <v>45280</v>
      </c>
      <c r="C21" s="4">
        <v>1.84</v>
      </c>
      <c r="D21" s="4">
        <v>2.59</v>
      </c>
      <c r="E21" s="4"/>
      <c r="F21" s="4"/>
      <c r="G21" s="4"/>
      <c r="I21" s="4" t="s">
        <v>15</v>
      </c>
      <c r="J21" s="5">
        <v>45280</v>
      </c>
      <c r="K21" s="4">
        <v>5.7</v>
      </c>
      <c r="L21" s="4">
        <v>7.21</v>
      </c>
      <c r="M21" s="4"/>
      <c r="N21" s="4"/>
      <c r="O21" s="4"/>
      <c r="Q21" s="6" t="s">
        <v>20</v>
      </c>
      <c r="R21" s="5">
        <v>45280</v>
      </c>
      <c r="S21" s="6">
        <v>6.65</v>
      </c>
      <c r="T21" s="6">
        <v>11.46</v>
      </c>
      <c r="W21" s="4"/>
      <c r="Y21" s="6" t="s">
        <v>24</v>
      </c>
      <c r="Z21" s="5">
        <v>45280</v>
      </c>
      <c r="AA21" s="6">
        <v>2.88</v>
      </c>
      <c r="AB21" s="6">
        <v>1.84</v>
      </c>
      <c r="AE21" s="4"/>
    </row>
    <row r="22" spans="1:31" x14ac:dyDescent="0.2">
      <c r="A22" s="1" t="s">
        <v>11</v>
      </c>
      <c r="B22" s="2">
        <v>45280</v>
      </c>
      <c r="C22" s="1">
        <v>4.32</v>
      </c>
      <c r="D22" s="1">
        <v>3.79</v>
      </c>
      <c r="E22" s="1">
        <f>AVERAGE(C22:C23,C26)</f>
        <v>3.7033333333333331</v>
      </c>
      <c r="F22" s="1">
        <f>AVERAGE(D25:D26,D23)</f>
        <v>5.9466666666666663</v>
      </c>
      <c r="G22" s="1">
        <f>F22/E22</f>
        <v>1.6057605760576057</v>
      </c>
      <c r="I22" s="1" t="s">
        <v>16</v>
      </c>
      <c r="J22" s="2">
        <v>45280</v>
      </c>
      <c r="K22" s="1">
        <v>4.08</v>
      </c>
      <c r="L22" s="1">
        <v>6.42</v>
      </c>
      <c r="M22" s="1">
        <f>AVERAGE(K22:K23,K26)</f>
        <v>4.3933333333333335</v>
      </c>
      <c r="N22" s="1">
        <f>AVERAGE(L22:L23,L26)</f>
        <v>6.3500000000000005</v>
      </c>
      <c r="O22" s="1">
        <f>N22/M22</f>
        <v>1.445371775417299</v>
      </c>
      <c r="R22" s="2"/>
      <c r="W22" s="1"/>
    </row>
    <row r="23" spans="1:31" x14ac:dyDescent="0.2">
      <c r="A23" s="1" t="s">
        <v>11</v>
      </c>
      <c r="B23" s="2">
        <v>45280</v>
      </c>
      <c r="C23" s="1">
        <v>4.01</v>
      </c>
      <c r="D23" s="1">
        <v>4.58</v>
      </c>
      <c r="I23" s="1" t="s">
        <v>16</v>
      </c>
      <c r="J23" s="2">
        <v>45280</v>
      </c>
      <c r="K23" s="1">
        <v>4.29</v>
      </c>
      <c r="L23" s="1">
        <v>6.33</v>
      </c>
      <c r="M23" s="1"/>
      <c r="N23" s="1"/>
      <c r="O23" s="1"/>
      <c r="R23" s="2"/>
    </row>
    <row r="24" spans="1:31" x14ac:dyDescent="0.2">
      <c r="A24" s="1" t="s">
        <v>11</v>
      </c>
      <c r="B24" s="2">
        <v>45280</v>
      </c>
      <c r="C24" s="1">
        <v>10.029999999999999</v>
      </c>
      <c r="D24" s="1">
        <v>7.95</v>
      </c>
      <c r="I24" s="1" t="s">
        <v>16</v>
      </c>
      <c r="J24" s="2">
        <v>45280</v>
      </c>
      <c r="K24" s="1">
        <v>1.91</v>
      </c>
      <c r="L24" s="1">
        <v>9.39</v>
      </c>
      <c r="M24" s="1"/>
      <c r="N24" s="1"/>
      <c r="O24" s="1"/>
      <c r="R24" s="2"/>
    </row>
    <row r="25" spans="1:31" x14ac:dyDescent="0.2">
      <c r="A25" s="1" t="s">
        <v>11</v>
      </c>
      <c r="B25" s="2">
        <v>45280</v>
      </c>
      <c r="C25" s="1">
        <v>2.17</v>
      </c>
      <c r="D25" s="1">
        <v>5.85</v>
      </c>
      <c r="I25" s="1" t="s">
        <v>16</v>
      </c>
      <c r="J25" s="2">
        <v>45280</v>
      </c>
      <c r="K25" s="1">
        <v>5.63</v>
      </c>
      <c r="L25" s="1">
        <v>5.8</v>
      </c>
      <c r="M25" s="1"/>
      <c r="N25" s="1"/>
      <c r="O25" s="1"/>
      <c r="R25" s="2"/>
    </row>
    <row r="26" spans="1:31" x14ac:dyDescent="0.2">
      <c r="A26" s="1" t="s">
        <v>11</v>
      </c>
      <c r="B26" s="2">
        <v>45280</v>
      </c>
      <c r="C26" s="1">
        <v>2.78</v>
      </c>
      <c r="D26" s="1">
        <v>7.41</v>
      </c>
      <c r="I26" s="1" t="s">
        <v>16</v>
      </c>
      <c r="J26" s="2">
        <v>45280</v>
      </c>
      <c r="K26" s="1">
        <v>4.8099999999999996</v>
      </c>
      <c r="L26" s="1">
        <v>6.3</v>
      </c>
      <c r="M26" s="1"/>
      <c r="N26" s="1"/>
      <c r="O26" s="1"/>
      <c r="R26" s="2"/>
    </row>
    <row r="30" spans="1:31" x14ac:dyDescent="0.2">
      <c r="A30" s="1" t="s">
        <v>6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I30" s="1" t="s">
        <v>6</v>
      </c>
      <c r="J30" s="1" t="s">
        <v>0</v>
      </c>
      <c r="K30" s="1" t="s">
        <v>1</v>
      </c>
      <c r="L30" s="1" t="s">
        <v>2</v>
      </c>
      <c r="M30" s="1" t="s">
        <v>3</v>
      </c>
      <c r="N30" s="1" t="s">
        <v>4</v>
      </c>
      <c r="O30" s="1" t="s">
        <v>5</v>
      </c>
      <c r="Q30" s="1" t="s">
        <v>6</v>
      </c>
      <c r="R30" s="1" t="s">
        <v>0</v>
      </c>
      <c r="S30" s="1" t="s">
        <v>1</v>
      </c>
      <c r="T30" s="1" t="s">
        <v>2</v>
      </c>
      <c r="U30" s="1" t="s">
        <v>3</v>
      </c>
      <c r="V30" s="1" t="s">
        <v>4</v>
      </c>
      <c r="W30" s="1" t="s">
        <v>5</v>
      </c>
      <c r="Y30" s="1" t="s">
        <v>6</v>
      </c>
      <c r="Z30" s="1" t="s">
        <v>0</v>
      </c>
      <c r="AA30" s="1" t="s">
        <v>1</v>
      </c>
      <c r="AB30" s="1" t="s">
        <v>2</v>
      </c>
      <c r="AC30" s="1" t="s">
        <v>3</v>
      </c>
      <c r="AD30" s="1" t="s">
        <v>4</v>
      </c>
      <c r="AE30" s="1" t="s">
        <v>5</v>
      </c>
    </row>
    <row r="31" spans="1:31" x14ac:dyDescent="0.2">
      <c r="A31" s="1" t="s">
        <v>25</v>
      </c>
      <c r="B31" s="2">
        <v>45281</v>
      </c>
      <c r="C31" s="1">
        <v>3.56</v>
      </c>
      <c r="D31" s="1">
        <v>3.16</v>
      </c>
      <c r="E31" s="1">
        <f>AVERAGE(C31,C33,C35)</f>
        <v>4.7233333333333336</v>
      </c>
      <c r="F31" s="1">
        <f>AVERAGE(D31,D33,D35)</f>
        <v>3.7233333333333332</v>
      </c>
      <c r="G31" s="1">
        <f>F31/E31</f>
        <v>0.78828510938602669</v>
      </c>
      <c r="I31" s="3" t="s">
        <v>30</v>
      </c>
      <c r="J31" s="2">
        <v>45281</v>
      </c>
      <c r="K31" s="3">
        <v>11.26</v>
      </c>
      <c r="L31" s="3">
        <v>3.66</v>
      </c>
      <c r="M31" s="1">
        <f>AVERAGE(K32:K34)</f>
        <v>6.0666666666666664</v>
      </c>
      <c r="N31" s="1">
        <f>AVERAGE(L31:L33)</f>
        <v>3.5733333333333328</v>
      </c>
      <c r="O31" s="1">
        <f>N31/M31</f>
        <v>0.58901098901098892</v>
      </c>
      <c r="Q31" s="3" t="s">
        <v>35</v>
      </c>
      <c r="R31" s="2">
        <v>45281</v>
      </c>
      <c r="S31" s="3">
        <v>7.18</v>
      </c>
      <c r="T31" s="3">
        <v>7.32</v>
      </c>
      <c r="U31" s="1">
        <f>AVERAGE(S33:S34,S31)</f>
        <v>7.18</v>
      </c>
      <c r="V31" s="1">
        <f>AVERAGE(T32,T34:T35)</f>
        <v>6.0766666666666653</v>
      </c>
      <c r="W31" s="1">
        <f>V31/U31</f>
        <v>0.84633240482822636</v>
      </c>
      <c r="Y31" s="3" t="s">
        <v>39</v>
      </c>
      <c r="Z31" s="2">
        <v>45281</v>
      </c>
      <c r="AA31" s="3">
        <v>8.56</v>
      </c>
      <c r="AB31" s="3">
        <v>4.6399999999999997</v>
      </c>
      <c r="AC31" s="1">
        <f>AVERAGE(AA31,AA32,AA34)</f>
        <v>8.2333333333333343</v>
      </c>
      <c r="AD31" s="1">
        <f>AVERAGE(AB31,AB32,AB34)</f>
        <v>4.666666666666667</v>
      </c>
      <c r="AE31" s="1">
        <f>AD31/AC31</f>
        <v>0.5668016194331984</v>
      </c>
    </row>
    <row r="32" spans="1:31" x14ac:dyDescent="0.2">
      <c r="A32" s="3"/>
      <c r="B32" s="2">
        <v>45281</v>
      </c>
      <c r="C32" s="1">
        <v>1.2</v>
      </c>
      <c r="D32" s="1">
        <v>9.5500000000000007</v>
      </c>
      <c r="J32" s="2">
        <v>45281</v>
      </c>
      <c r="K32" s="3">
        <v>5.0199999999999996</v>
      </c>
      <c r="L32" s="3">
        <v>4.22</v>
      </c>
      <c r="M32" s="1"/>
      <c r="N32" s="1"/>
      <c r="O32" s="1"/>
      <c r="R32" s="2">
        <v>45281</v>
      </c>
      <c r="S32" s="3">
        <v>9.64</v>
      </c>
      <c r="T32" s="3">
        <v>6.05</v>
      </c>
      <c r="U32" s="1"/>
      <c r="V32" s="1"/>
      <c r="W32" s="1"/>
      <c r="Z32" s="2">
        <v>45281</v>
      </c>
      <c r="AA32" s="3">
        <v>7.75</v>
      </c>
      <c r="AB32" s="3">
        <v>4.09</v>
      </c>
      <c r="AC32" s="1"/>
      <c r="AD32" s="1"/>
      <c r="AE32" s="1"/>
    </row>
    <row r="33" spans="1:31" x14ac:dyDescent="0.2">
      <c r="A33" s="3"/>
      <c r="B33" s="2">
        <v>45281</v>
      </c>
      <c r="C33" s="1">
        <v>6</v>
      </c>
      <c r="D33" s="1">
        <v>4.84</v>
      </c>
      <c r="J33" s="2">
        <v>45281</v>
      </c>
      <c r="K33" s="3">
        <v>9</v>
      </c>
      <c r="L33" s="3">
        <v>2.84</v>
      </c>
      <c r="M33" s="1"/>
      <c r="N33" s="1"/>
      <c r="O33" s="1"/>
      <c r="R33" s="2">
        <v>45281</v>
      </c>
      <c r="S33" s="3">
        <v>4.95</v>
      </c>
      <c r="T33" s="3">
        <v>3.81</v>
      </c>
      <c r="U33" s="1"/>
      <c r="V33" s="1"/>
      <c r="W33" s="1"/>
      <c r="Z33" s="2">
        <v>45281</v>
      </c>
      <c r="AA33" s="3">
        <v>9.61</v>
      </c>
      <c r="AB33" s="3">
        <v>2.79</v>
      </c>
      <c r="AC33" s="1"/>
      <c r="AD33" s="1"/>
      <c r="AE33" s="1"/>
    </row>
    <row r="34" spans="1:31" x14ac:dyDescent="0.2">
      <c r="A34" s="3"/>
      <c r="B34" s="2">
        <v>45281</v>
      </c>
      <c r="C34" s="1">
        <v>7.79</v>
      </c>
      <c r="D34" s="1">
        <v>2.87</v>
      </c>
      <c r="J34" s="2">
        <v>45281</v>
      </c>
      <c r="K34" s="3">
        <v>4.18</v>
      </c>
      <c r="L34" s="3">
        <v>5.92</v>
      </c>
      <c r="M34" s="1"/>
      <c r="N34" s="1"/>
      <c r="O34" s="1"/>
      <c r="R34" s="2">
        <v>45281</v>
      </c>
      <c r="S34" s="3">
        <v>9.41</v>
      </c>
      <c r="T34" s="3">
        <v>5.08</v>
      </c>
      <c r="U34" s="1"/>
      <c r="V34" s="1"/>
      <c r="W34" s="1"/>
      <c r="Z34" s="2">
        <v>45281</v>
      </c>
      <c r="AA34" s="3">
        <v>8.39</v>
      </c>
      <c r="AB34" s="3">
        <v>5.27</v>
      </c>
      <c r="AC34" s="1"/>
      <c r="AD34" s="1"/>
      <c r="AE34" s="1"/>
    </row>
    <row r="35" spans="1:31" x14ac:dyDescent="0.2">
      <c r="A35" s="3"/>
      <c r="B35" s="2">
        <v>45281</v>
      </c>
      <c r="C35" s="1">
        <v>4.6100000000000003</v>
      </c>
      <c r="D35" s="1">
        <v>3.17</v>
      </c>
      <c r="J35" s="2">
        <v>45281</v>
      </c>
      <c r="K35" s="3">
        <v>1.72</v>
      </c>
      <c r="L35" s="3">
        <v>1.83</v>
      </c>
      <c r="M35" s="1"/>
      <c r="N35" s="1"/>
      <c r="O35" s="1"/>
      <c r="R35" s="2">
        <v>45281</v>
      </c>
      <c r="S35" s="3">
        <v>4.7</v>
      </c>
      <c r="T35" s="3">
        <v>7.1</v>
      </c>
      <c r="U35" s="1"/>
      <c r="V35" s="1"/>
      <c r="W35" s="1"/>
      <c r="Z35" s="2">
        <v>45281</v>
      </c>
      <c r="AA35" s="3">
        <v>6.8</v>
      </c>
      <c r="AB35" s="3">
        <v>7.75</v>
      </c>
      <c r="AC35" s="1"/>
      <c r="AD35" s="1"/>
      <c r="AE35" s="1"/>
    </row>
    <row r="36" spans="1:31" s="6" customFormat="1" x14ac:dyDescent="0.2">
      <c r="A36" s="4" t="s">
        <v>26</v>
      </c>
      <c r="B36" s="5">
        <v>45281</v>
      </c>
      <c r="C36" s="4">
        <v>3.8</v>
      </c>
      <c r="D36" s="4">
        <v>2.93</v>
      </c>
      <c r="E36" s="4">
        <f>AVERAGE(C38:C40)</f>
        <v>5.4966666666666661</v>
      </c>
      <c r="F36" s="4">
        <f>AVERAGE(D36,D38,D40)</f>
        <v>3.2866666666666666</v>
      </c>
      <c r="G36" s="4">
        <f>F36/E36</f>
        <v>0.597938144329897</v>
      </c>
      <c r="I36" s="6" t="s">
        <v>31</v>
      </c>
      <c r="J36" s="5">
        <v>45281</v>
      </c>
      <c r="K36" s="6">
        <v>4.2699999999999996</v>
      </c>
      <c r="L36" s="6">
        <v>5.67</v>
      </c>
      <c r="M36" s="4">
        <f>AVERAGE(K36:K37,K40)</f>
        <v>4.4633333333333338</v>
      </c>
      <c r="N36" s="4">
        <f>AVERAGE(L37,L39:L40)</f>
        <v>4.38</v>
      </c>
      <c r="O36" s="4">
        <f>N36/M36</f>
        <v>0.98132935026138901</v>
      </c>
      <c r="Q36" s="6" t="s">
        <v>36</v>
      </c>
      <c r="R36" s="5">
        <v>45281</v>
      </c>
      <c r="S36" s="6">
        <v>7.83</v>
      </c>
      <c r="T36" s="6">
        <v>3.8</v>
      </c>
      <c r="U36" s="4">
        <f>AVERAGE(S38:S40)</f>
        <v>5.1166666666666671</v>
      </c>
      <c r="V36" s="4">
        <f>AVERAGE(T36,T37,T40)</f>
        <v>4.38</v>
      </c>
      <c r="W36" s="4">
        <f>V36/U36</f>
        <v>0.85602605863192172</v>
      </c>
      <c r="Y36" s="6" t="s">
        <v>40</v>
      </c>
      <c r="Z36" s="5">
        <v>45281</v>
      </c>
      <c r="AA36" s="6">
        <v>4.38</v>
      </c>
      <c r="AB36" s="6">
        <v>6.59</v>
      </c>
      <c r="AC36" s="4">
        <f>AVERAGE(AA38:AA40)</f>
        <v>3.4666666666666663</v>
      </c>
      <c r="AD36" s="4">
        <f>AVERAGE(AB37,AB38,AB39)</f>
        <v>3.9033333333333338</v>
      </c>
      <c r="AE36" s="4">
        <f>AD36/AC36</f>
        <v>1.1259615384615387</v>
      </c>
    </row>
    <row r="37" spans="1:31" s="6" customFormat="1" x14ac:dyDescent="0.2">
      <c r="B37" s="5">
        <v>45281</v>
      </c>
      <c r="C37" s="4">
        <v>7.26</v>
      </c>
      <c r="D37" s="4">
        <v>6.92</v>
      </c>
      <c r="E37" s="4"/>
      <c r="F37" s="4"/>
      <c r="G37" s="4"/>
      <c r="J37" s="5">
        <v>45281</v>
      </c>
      <c r="K37" s="6">
        <v>5.55</v>
      </c>
      <c r="L37" s="6">
        <v>5.36</v>
      </c>
      <c r="M37" s="4"/>
      <c r="N37" s="4"/>
      <c r="O37" s="4"/>
      <c r="R37" s="5">
        <v>45281</v>
      </c>
      <c r="S37" s="6">
        <v>3.42</v>
      </c>
      <c r="T37" s="6">
        <v>3.24</v>
      </c>
      <c r="U37" s="4"/>
      <c r="V37" s="4"/>
      <c r="W37" s="4"/>
      <c r="Z37" s="5">
        <v>45281</v>
      </c>
      <c r="AA37" s="6">
        <v>2.29</v>
      </c>
      <c r="AB37" s="6">
        <v>4.6100000000000003</v>
      </c>
      <c r="AC37" s="4"/>
      <c r="AD37" s="4"/>
      <c r="AE37" s="4"/>
    </row>
    <row r="38" spans="1:31" s="6" customFormat="1" x14ac:dyDescent="0.2">
      <c r="B38" s="5">
        <v>45281</v>
      </c>
      <c r="C38" s="4">
        <v>5.14</v>
      </c>
      <c r="D38" s="4">
        <v>1.59</v>
      </c>
      <c r="E38" s="4"/>
      <c r="F38" s="4"/>
      <c r="G38" s="4"/>
      <c r="J38" s="5">
        <v>45281</v>
      </c>
      <c r="K38" s="6">
        <v>3.32</v>
      </c>
      <c r="L38" s="6">
        <v>3.13</v>
      </c>
      <c r="M38" s="4"/>
      <c r="N38" s="4"/>
      <c r="O38" s="4"/>
      <c r="R38" s="5">
        <v>45281</v>
      </c>
      <c r="S38" s="6">
        <v>4.7</v>
      </c>
      <c r="T38" s="6">
        <v>2.89</v>
      </c>
      <c r="U38" s="4"/>
      <c r="V38" s="4"/>
      <c r="W38" s="4"/>
      <c r="Z38" s="5">
        <v>45281</v>
      </c>
      <c r="AA38" s="6">
        <v>2.42</v>
      </c>
      <c r="AB38" s="6">
        <v>3.22</v>
      </c>
      <c r="AC38" s="4"/>
      <c r="AD38" s="4"/>
      <c r="AE38" s="4"/>
    </row>
    <row r="39" spans="1:31" s="6" customFormat="1" x14ac:dyDescent="0.2">
      <c r="B39" s="5">
        <v>45281</v>
      </c>
      <c r="C39" s="4">
        <v>5.15</v>
      </c>
      <c r="D39" s="4">
        <v>1.31</v>
      </c>
      <c r="E39" s="4"/>
      <c r="F39" s="4"/>
      <c r="G39" s="4"/>
      <c r="J39" s="5">
        <v>45281</v>
      </c>
      <c r="K39" s="6">
        <v>5.74</v>
      </c>
      <c r="L39" s="6">
        <v>3.94</v>
      </c>
      <c r="M39" s="4"/>
      <c r="N39" s="4"/>
      <c r="O39" s="4"/>
      <c r="R39" s="5">
        <v>45281</v>
      </c>
      <c r="S39" s="6">
        <v>5.99</v>
      </c>
      <c r="T39" s="6">
        <v>6.51</v>
      </c>
      <c r="U39" s="4"/>
      <c r="V39" s="4"/>
      <c r="W39" s="4"/>
      <c r="Z39" s="5">
        <v>45281</v>
      </c>
      <c r="AA39" s="6">
        <v>3.67</v>
      </c>
      <c r="AB39" s="6">
        <v>3.88</v>
      </c>
      <c r="AC39" s="4"/>
      <c r="AD39" s="4"/>
      <c r="AE39" s="4"/>
    </row>
    <row r="40" spans="1:31" s="6" customFormat="1" x14ac:dyDescent="0.2">
      <c r="A40" s="4"/>
      <c r="B40" s="5">
        <v>45281</v>
      </c>
      <c r="C40" s="4">
        <v>6.2</v>
      </c>
      <c r="D40" s="4">
        <v>5.34</v>
      </c>
      <c r="E40" s="4"/>
      <c r="F40" s="4"/>
      <c r="G40" s="4"/>
      <c r="J40" s="5">
        <v>45281</v>
      </c>
      <c r="K40" s="6">
        <v>3.57</v>
      </c>
      <c r="L40" s="6">
        <v>3.84</v>
      </c>
      <c r="M40" s="4"/>
      <c r="N40" s="4"/>
      <c r="O40" s="4"/>
      <c r="R40" s="5">
        <v>45281</v>
      </c>
      <c r="S40" s="6">
        <v>4.66</v>
      </c>
      <c r="T40" s="6">
        <v>6.1</v>
      </c>
      <c r="U40" s="4"/>
      <c r="V40" s="4"/>
      <c r="W40" s="4"/>
      <c r="Z40" s="5">
        <v>45281</v>
      </c>
      <c r="AA40" s="6">
        <v>4.3099999999999996</v>
      </c>
      <c r="AB40" s="6">
        <v>1.87</v>
      </c>
      <c r="AC40" s="4"/>
      <c r="AD40" s="4"/>
      <c r="AE40" s="4"/>
    </row>
    <row r="41" spans="1:31" x14ac:dyDescent="0.2">
      <c r="A41" s="1" t="s">
        <v>27</v>
      </c>
      <c r="B41" s="2">
        <v>45281</v>
      </c>
      <c r="C41" s="1">
        <v>3.81</v>
      </c>
      <c r="D41" s="1">
        <v>4.29</v>
      </c>
      <c r="E41" s="1">
        <f>AVERAGE(C42:C43,C45)</f>
        <v>6.36</v>
      </c>
      <c r="F41" s="1">
        <f>AVERAGE(D41:D42,D45)</f>
        <v>4.0933333333333337</v>
      </c>
      <c r="G41" s="1">
        <f>F41/E41</f>
        <v>0.64360587002096437</v>
      </c>
      <c r="I41" s="3" t="s">
        <v>32</v>
      </c>
      <c r="J41" s="2">
        <v>45281</v>
      </c>
      <c r="K41" s="3">
        <v>7.48</v>
      </c>
      <c r="L41" s="3">
        <v>5.88</v>
      </c>
      <c r="M41" s="1">
        <f>AVERAGE(K43:K45)</f>
        <v>5.2866666666666671</v>
      </c>
      <c r="N41" s="1">
        <f>AVERAGE(L41:L42,L45)</f>
        <v>5.6833333333333336</v>
      </c>
      <c r="O41" s="1">
        <f>N41/M41</f>
        <v>1.075031525851198</v>
      </c>
      <c r="Q41" s="3" t="s">
        <v>37</v>
      </c>
      <c r="R41" s="2">
        <v>45281</v>
      </c>
      <c r="S41" s="3">
        <v>7.18</v>
      </c>
      <c r="T41" s="3">
        <v>2.71</v>
      </c>
      <c r="U41" s="1">
        <f>AVERAGE(S43:S44,S41)</f>
        <v>5.45</v>
      </c>
      <c r="V41" s="1">
        <f>AVERAGE(T44:T45,T42)</f>
        <v>5.586666666666666</v>
      </c>
      <c r="W41" s="1">
        <f>V41/U41</f>
        <v>1.0250764525993883</v>
      </c>
      <c r="Y41" s="3" t="s">
        <v>41</v>
      </c>
      <c r="Z41" s="2">
        <v>45281</v>
      </c>
      <c r="AA41" s="3">
        <v>3.87</v>
      </c>
      <c r="AB41" s="3">
        <v>0.85</v>
      </c>
      <c r="AC41" s="1">
        <f>AVERAGE(AA43:AA44,AA41)</f>
        <v>3.9133333333333336</v>
      </c>
      <c r="AD41" s="1">
        <f>AVERAGE(AB44:AB45,AB42)</f>
        <v>4.5</v>
      </c>
      <c r="AE41" s="1">
        <f>AD41/AC41</f>
        <v>1.1499148211243611</v>
      </c>
    </row>
    <row r="42" spans="1:31" x14ac:dyDescent="0.2">
      <c r="A42" s="3"/>
      <c r="B42" s="2">
        <v>45281</v>
      </c>
      <c r="C42" s="1">
        <v>8.15</v>
      </c>
      <c r="D42" s="1">
        <v>5.19</v>
      </c>
      <c r="J42" s="2">
        <v>45281</v>
      </c>
      <c r="K42" s="3">
        <v>1.66</v>
      </c>
      <c r="L42" s="3">
        <v>4.53</v>
      </c>
      <c r="M42" s="1"/>
      <c r="N42" s="1"/>
      <c r="O42" s="1"/>
      <c r="R42" s="2">
        <v>45281</v>
      </c>
      <c r="S42" s="3">
        <v>2.08</v>
      </c>
      <c r="T42" s="3">
        <v>6.67</v>
      </c>
      <c r="U42" s="1"/>
      <c r="V42" s="1"/>
      <c r="W42" s="1"/>
      <c r="Z42" s="2">
        <v>45281</v>
      </c>
      <c r="AA42" s="3">
        <v>2.78</v>
      </c>
      <c r="AB42" s="3">
        <v>3.24</v>
      </c>
      <c r="AC42" s="1"/>
      <c r="AD42" s="1"/>
      <c r="AE42" s="1"/>
    </row>
    <row r="43" spans="1:31" x14ac:dyDescent="0.2">
      <c r="A43" s="3"/>
      <c r="B43" s="2">
        <v>45281</v>
      </c>
      <c r="C43" s="1">
        <v>4.2300000000000004</v>
      </c>
      <c r="D43" s="1">
        <v>2</v>
      </c>
      <c r="J43" s="2">
        <v>45281</v>
      </c>
      <c r="K43" s="3">
        <v>4.6500000000000004</v>
      </c>
      <c r="L43" s="3">
        <v>8.98</v>
      </c>
      <c r="M43" s="1"/>
      <c r="N43" s="1"/>
      <c r="O43" s="1"/>
      <c r="R43" s="2">
        <v>45281</v>
      </c>
      <c r="S43" s="3">
        <v>3.52</v>
      </c>
      <c r="T43" s="3">
        <v>9.93</v>
      </c>
      <c r="U43" s="1"/>
      <c r="V43" s="1"/>
      <c r="W43" s="1"/>
      <c r="Z43" s="2">
        <v>45281</v>
      </c>
      <c r="AA43" s="3">
        <v>3.8</v>
      </c>
      <c r="AB43" s="3">
        <v>6.94</v>
      </c>
      <c r="AC43" s="1"/>
      <c r="AD43" s="1"/>
      <c r="AE43" s="1"/>
    </row>
    <row r="44" spans="1:31" x14ac:dyDescent="0.2">
      <c r="B44" s="2">
        <v>45281</v>
      </c>
      <c r="C44" s="1">
        <v>8.9600000000000009</v>
      </c>
      <c r="D44" s="1">
        <v>6.42</v>
      </c>
      <c r="J44" s="2">
        <v>45281</v>
      </c>
      <c r="K44" s="3">
        <v>6.86</v>
      </c>
      <c r="L44" s="3">
        <v>3.69</v>
      </c>
      <c r="M44" s="1"/>
      <c r="N44" s="1"/>
      <c r="O44" s="1"/>
      <c r="R44" s="2">
        <v>45281</v>
      </c>
      <c r="S44" s="3">
        <v>5.65</v>
      </c>
      <c r="T44" s="3">
        <v>5.32</v>
      </c>
      <c r="U44" s="1"/>
      <c r="V44" s="1"/>
      <c r="W44" s="1"/>
      <c r="Z44" s="2">
        <v>45281</v>
      </c>
      <c r="AA44" s="3">
        <v>4.07</v>
      </c>
      <c r="AB44" s="3">
        <v>6.12</v>
      </c>
      <c r="AC44" s="1"/>
      <c r="AD44" s="1"/>
      <c r="AE44" s="1"/>
    </row>
    <row r="45" spans="1:31" x14ac:dyDescent="0.2">
      <c r="B45" s="2">
        <v>45281</v>
      </c>
      <c r="C45" s="1">
        <v>6.7</v>
      </c>
      <c r="D45" s="1">
        <v>2.8</v>
      </c>
      <c r="J45" s="2">
        <v>45281</v>
      </c>
      <c r="K45" s="3">
        <v>4.3499999999999996</v>
      </c>
      <c r="L45" s="3">
        <v>6.64</v>
      </c>
      <c r="M45" s="1"/>
      <c r="N45" s="1"/>
      <c r="O45" s="1"/>
      <c r="R45" s="2">
        <v>45281</v>
      </c>
      <c r="S45" s="3">
        <v>7.93</v>
      </c>
      <c r="T45" s="3">
        <v>4.7699999999999996</v>
      </c>
      <c r="U45" s="1"/>
      <c r="V45" s="1"/>
      <c r="W45" s="1"/>
      <c r="Z45" s="2">
        <v>45281</v>
      </c>
      <c r="AA45" s="3">
        <v>4.21</v>
      </c>
      <c r="AB45" s="3">
        <v>4.1399999999999997</v>
      </c>
      <c r="AC45" s="1"/>
      <c r="AD45" s="1"/>
      <c r="AE45" s="1"/>
    </row>
    <row r="46" spans="1:31" s="6" customFormat="1" x14ac:dyDescent="0.2">
      <c r="A46" s="4" t="s">
        <v>28</v>
      </c>
      <c r="B46" s="5">
        <v>45281</v>
      </c>
      <c r="C46" s="4">
        <v>5.09</v>
      </c>
      <c r="D46" s="4">
        <v>1.62</v>
      </c>
      <c r="E46" s="4">
        <f>AVERAGE(C46,C48:C49)</f>
        <v>5.0466666666666669</v>
      </c>
      <c r="F46" s="4">
        <f>AVERAGE(D47:D49)</f>
        <v>3.5499999999999994</v>
      </c>
      <c r="G46" s="4">
        <f>F46/E46</f>
        <v>0.70343461030383081</v>
      </c>
      <c r="I46" s="6" t="s">
        <v>33</v>
      </c>
      <c r="J46" s="5">
        <v>45281</v>
      </c>
      <c r="K46" s="6">
        <v>5.39</v>
      </c>
      <c r="L46" s="6">
        <v>2.33</v>
      </c>
      <c r="M46" s="4">
        <f>AVERAGE(K46,K49:K50)</f>
        <v>4.3033333333333337</v>
      </c>
      <c r="N46" s="4">
        <f>AVERAGE(L47:L49)</f>
        <v>4.953333333333334</v>
      </c>
      <c r="O46" s="4">
        <f>N46/M46</f>
        <v>1.1510457010069715</v>
      </c>
      <c r="Q46" s="6" t="s">
        <v>38</v>
      </c>
      <c r="R46" s="5">
        <v>45281</v>
      </c>
      <c r="S46" s="6">
        <v>5.67</v>
      </c>
      <c r="T46" s="6">
        <v>5.92</v>
      </c>
      <c r="U46" s="4">
        <f>AVERAGE(S46,S48:S49)</f>
        <v>6.1833333333333336</v>
      </c>
      <c r="V46" s="4">
        <f>AVERAGE(T46:T47,T50)</f>
        <v>5.6966666666666663</v>
      </c>
      <c r="W46" s="4">
        <f>V46/U46</f>
        <v>0.9212938005390835</v>
      </c>
      <c r="Y46" s="6" t="s">
        <v>42</v>
      </c>
      <c r="Z46" s="5">
        <v>45281</v>
      </c>
      <c r="AA46" s="6">
        <v>6.5</v>
      </c>
      <c r="AB46" s="6">
        <v>1.0900000000000001</v>
      </c>
      <c r="AC46" s="4">
        <f>AVERAGE(AA49,AA46:AA47)</f>
        <v>4.1166666666666663</v>
      </c>
      <c r="AD46" s="4">
        <f>AVERAGE(AB47,AB49:AB50)</f>
        <v>2.8733333333333331</v>
      </c>
      <c r="AE46" s="4">
        <f>AD46/AC46</f>
        <v>0.69797570850202428</v>
      </c>
    </row>
    <row r="47" spans="1:31" s="6" customFormat="1" x14ac:dyDescent="0.2">
      <c r="B47" s="5">
        <v>45281</v>
      </c>
      <c r="C47" s="4">
        <v>2.95</v>
      </c>
      <c r="D47" s="4">
        <v>3.16</v>
      </c>
      <c r="E47" s="4"/>
      <c r="F47" s="4"/>
      <c r="G47" s="4"/>
      <c r="J47" s="5">
        <v>45281</v>
      </c>
      <c r="K47" s="6">
        <v>2.56</v>
      </c>
      <c r="L47" s="6">
        <v>5.66</v>
      </c>
      <c r="M47" s="4"/>
      <c r="N47" s="4"/>
      <c r="O47" s="4"/>
      <c r="R47" s="5">
        <v>45281</v>
      </c>
      <c r="S47" s="6">
        <v>3.82</v>
      </c>
      <c r="T47" s="6">
        <v>5.07</v>
      </c>
      <c r="Z47" s="5">
        <v>45281</v>
      </c>
      <c r="AA47" s="6">
        <v>3.83</v>
      </c>
      <c r="AB47" s="6">
        <v>4.1900000000000004</v>
      </c>
    </row>
    <row r="48" spans="1:31" s="6" customFormat="1" x14ac:dyDescent="0.2">
      <c r="A48" s="4"/>
      <c r="B48" s="5">
        <v>45281</v>
      </c>
      <c r="C48" s="4">
        <v>4.99</v>
      </c>
      <c r="D48" s="4">
        <v>2.02</v>
      </c>
      <c r="E48" s="4"/>
      <c r="F48" s="4"/>
      <c r="G48" s="4"/>
      <c r="J48" s="5">
        <v>45281</v>
      </c>
      <c r="K48" s="6">
        <v>6.04</v>
      </c>
      <c r="L48" s="6">
        <v>5.05</v>
      </c>
      <c r="M48" s="4"/>
      <c r="N48" s="4"/>
      <c r="O48" s="4"/>
      <c r="R48" s="5">
        <v>45281</v>
      </c>
      <c r="S48" s="6">
        <v>6.41</v>
      </c>
      <c r="T48" s="6">
        <v>7.85</v>
      </c>
      <c r="Z48" s="5">
        <v>45281</v>
      </c>
      <c r="AA48" s="6">
        <v>1.96</v>
      </c>
      <c r="AB48" s="6">
        <v>5.92</v>
      </c>
    </row>
    <row r="49" spans="1:28" s="6" customFormat="1" x14ac:dyDescent="0.2">
      <c r="A49" s="4"/>
      <c r="B49" s="5">
        <v>45281</v>
      </c>
      <c r="C49" s="4">
        <v>5.0599999999999996</v>
      </c>
      <c r="D49" s="4">
        <v>5.47</v>
      </c>
      <c r="E49" s="4"/>
      <c r="F49" s="4"/>
      <c r="G49" s="4"/>
      <c r="J49" s="5">
        <v>45281</v>
      </c>
      <c r="K49" s="6">
        <v>4.66</v>
      </c>
      <c r="L49" s="6">
        <v>4.1500000000000004</v>
      </c>
      <c r="M49" s="4"/>
      <c r="N49" s="4"/>
      <c r="O49" s="4"/>
      <c r="R49" s="5">
        <v>45281</v>
      </c>
      <c r="S49" s="6">
        <v>6.47</v>
      </c>
      <c r="T49" s="6">
        <v>3.28</v>
      </c>
      <c r="Z49" s="5">
        <v>45281</v>
      </c>
      <c r="AA49" s="6">
        <v>2.02</v>
      </c>
      <c r="AB49" s="6">
        <v>2.0699999999999998</v>
      </c>
    </row>
    <row r="50" spans="1:28" s="6" customFormat="1" x14ac:dyDescent="0.2">
      <c r="A50" s="4"/>
      <c r="B50" s="5">
        <v>45281</v>
      </c>
      <c r="C50" s="4">
        <v>6.05</v>
      </c>
      <c r="D50" s="4">
        <v>6.42</v>
      </c>
      <c r="E50" s="4"/>
      <c r="F50" s="4"/>
      <c r="G50" s="4"/>
      <c r="J50" s="5">
        <v>45281</v>
      </c>
      <c r="K50" s="6">
        <v>2.86</v>
      </c>
      <c r="L50" s="6">
        <v>9.81</v>
      </c>
      <c r="M50" s="4"/>
      <c r="N50" s="4"/>
      <c r="O50" s="4"/>
      <c r="R50" s="5">
        <v>45281</v>
      </c>
      <c r="S50" s="6">
        <v>9.7100000000000009</v>
      </c>
      <c r="T50" s="6">
        <v>6.1</v>
      </c>
      <c r="Z50" s="5">
        <v>45281</v>
      </c>
      <c r="AA50" s="6">
        <v>6.76</v>
      </c>
      <c r="AB50" s="6">
        <v>2.36</v>
      </c>
    </row>
    <row r="51" spans="1:28" x14ac:dyDescent="0.2">
      <c r="A51" s="1" t="s">
        <v>29</v>
      </c>
      <c r="B51" s="2">
        <v>45281</v>
      </c>
      <c r="C51" s="1">
        <v>2.2400000000000002</v>
      </c>
      <c r="D51" s="1">
        <v>4.84</v>
      </c>
      <c r="E51" s="1">
        <f>AVERAGE(C53:C55)</f>
        <v>5.2266666666666666</v>
      </c>
      <c r="F51" s="1">
        <f>AVERAGE(D55,D51,D53)</f>
        <v>4.9133333333333331</v>
      </c>
      <c r="G51" s="1">
        <f>F51/E51</f>
        <v>0.94005102040816324</v>
      </c>
      <c r="I51" s="3" t="s">
        <v>34</v>
      </c>
      <c r="J51" s="2">
        <v>45281</v>
      </c>
      <c r="K51" s="3">
        <v>5.73</v>
      </c>
      <c r="L51" s="3">
        <v>6.94</v>
      </c>
      <c r="M51" s="1">
        <f>AVERAGE(K51:K53)</f>
        <v>4.9033333333333333</v>
      </c>
      <c r="N51" s="1">
        <f>AVERAGE(L51:L52,L54)</f>
        <v>6.6933333333333342</v>
      </c>
      <c r="O51" s="1">
        <f>N51/M51</f>
        <v>1.3650577838205304</v>
      </c>
    </row>
    <row r="52" spans="1:28" x14ac:dyDescent="0.2">
      <c r="B52" s="2">
        <v>45281</v>
      </c>
      <c r="C52" s="1">
        <v>9.75</v>
      </c>
      <c r="D52" s="1">
        <v>5.62</v>
      </c>
      <c r="J52" s="2">
        <v>45281</v>
      </c>
      <c r="K52" s="3">
        <v>4.2300000000000004</v>
      </c>
      <c r="L52" s="3">
        <v>7.23</v>
      </c>
    </row>
    <row r="53" spans="1:28" x14ac:dyDescent="0.2">
      <c r="B53" s="2">
        <v>45281</v>
      </c>
      <c r="C53" s="1">
        <v>7.63</v>
      </c>
      <c r="D53" s="1">
        <v>5.39</v>
      </c>
      <c r="J53" s="2">
        <v>45281</v>
      </c>
      <c r="K53" s="3">
        <v>4.75</v>
      </c>
      <c r="L53" s="3">
        <v>7.55</v>
      </c>
    </row>
    <row r="54" spans="1:28" x14ac:dyDescent="0.2">
      <c r="B54" s="2">
        <v>45281</v>
      </c>
      <c r="C54" s="1">
        <v>4.82</v>
      </c>
      <c r="D54" s="1">
        <v>1.89</v>
      </c>
      <c r="J54" s="2">
        <v>45281</v>
      </c>
      <c r="K54" s="3">
        <v>6.31</v>
      </c>
      <c r="L54" s="3">
        <v>5.91</v>
      </c>
      <c r="U54" s="1"/>
    </row>
    <row r="55" spans="1:28" x14ac:dyDescent="0.2">
      <c r="B55" s="2">
        <v>45281</v>
      </c>
      <c r="C55" s="1">
        <v>3.23</v>
      </c>
      <c r="D55" s="1">
        <v>4.51</v>
      </c>
      <c r="J55" s="2">
        <v>45281</v>
      </c>
      <c r="K55" s="3">
        <v>4.1100000000000003</v>
      </c>
      <c r="L55" s="3">
        <v>2.2999999999999998</v>
      </c>
      <c r="U55" s="1"/>
    </row>
    <row r="56" spans="1:28" x14ac:dyDescent="0.2">
      <c r="B56" s="2"/>
      <c r="U56" s="1"/>
    </row>
    <row r="57" spans="1:28" x14ac:dyDescent="0.2">
      <c r="B57" s="2"/>
      <c r="L57" s="7">
        <v>0.4750378214826021</v>
      </c>
      <c r="U57" s="1"/>
    </row>
    <row r="58" spans="1:28" x14ac:dyDescent="0.2">
      <c r="B58" s="2"/>
      <c r="L58" s="4">
        <v>0.93784186971655892</v>
      </c>
      <c r="U58" s="1"/>
    </row>
    <row r="59" spans="1:28" x14ac:dyDescent="0.2">
      <c r="B59" s="2"/>
      <c r="L59" s="1">
        <v>1.6585788561525132</v>
      </c>
      <c r="U59" s="1"/>
    </row>
    <row r="60" spans="1:28" x14ac:dyDescent="0.2">
      <c r="B60" s="2"/>
      <c r="I60" s="1"/>
      <c r="J60" s="1"/>
      <c r="L60" s="4">
        <v>0.84644766997708176</v>
      </c>
      <c r="U60" s="1"/>
    </row>
    <row r="61" spans="1:28" x14ac:dyDescent="0.2">
      <c r="B61" s="2"/>
      <c r="I61" s="1"/>
      <c r="J61" s="1"/>
      <c r="L61" s="1">
        <v>1.6057605760576057</v>
      </c>
      <c r="U61" s="1"/>
    </row>
    <row r="62" spans="1:28" x14ac:dyDescent="0.2">
      <c r="B62" s="2"/>
      <c r="I62" s="1"/>
      <c r="J62" s="1"/>
      <c r="L62" s="1">
        <v>0.94337811900191926</v>
      </c>
      <c r="U62" s="1"/>
    </row>
    <row r="63" spans="1:28" x14ac:dyDescent="0.2">
      <c r="B63" s="2"/>
      <c r="I63" s="1"/>
      <c r="J63" s="1"/>
      <c r="L63" s="1">
        <v>0.89423493714781088</v>
      </c>
      <c r="U63" s="1"/>
    </row>
    <row r="64" spans="1:28" x14ac:dyDescent="0.2">
      <c r="B64" s="2"/>
      <c r="I64" s="1"/>
      <c r="J64" s="1"/>
      <c r="L64" s="4">
        <v>1.167539267015707</v>
      </c>
      <c r="U64" s="1"/>
    </row>
    <row r="65" spans="2:21" x14ac:dyDescent="0.2">
      <c r="B65" s="2"/>
      <c r="I65" s="1"/>
      <c r="J65" s="1"/>
      <c r="L65" s="1">
        <v>1.445371775417299</v>
      </c>
      <c r="U65" s="1"/>
    </row>
    <row r="66" spans="2:21" x14ac:dyDescent="0.2">
      <c r="B66" s="2"/>
      <c r="I66" s="1"/>
      <c r="J66" s="1"/>
      <c r="L66" s="1">
        <v>0.91041009463722389</v>
      </c>
      <c r="U66" s="1"/>
    </row>
    <row r="67" spans="2:21" x14ac:dyDescent="0.2">
      <c r="B67" s="2"/>
      <c r="I67" s="1"/>
      <c r="J67" s="1"/>
      <c r="L67" s="4">
        <v>0.92005076142131981</v>
      </c>
      <c r="U67" s="1"/>
    </row>
    <row r="68" spans="2:21" x14ac:dyDescent="0.2">
      <c r="B68" s="2"/>
      <c r="I68" s="1"/>
      <c r="J68" s="1"/>
      <c r="L68" s="1">
        <v>1.2885170225043274</v>
      </c>
      <c r="U68" s="1"/>
    </row>
    <row r="69" spans="2:21" x14ac:dyDescent="0.2">
      <c r="B69" s="2"/>
      <c r="I69" s="1"/>
      <c r="J69" s="1"/>
      <c r="L69" s="4">
        <v>1.0447284345047922</v>
      </c>
      <c r="U69" s="1"/>
    </row>
    <row r="70" spans="2:21" x14ac:dyDescent="0.2">
      <c r="B70" s="2"/>
      <c r="I70" s="1"/>
      <c r="J70" s="1"/>
      <c r="L70" s="1">
        <v>1.1052631578947372</v>
      </c>
      <c r="U70" s="1"/>
    </row>
    <row r="71" spans="2:21" x14ac:dyDescent="0.2">
      <c r="B71" s="2"/>
      <c r="I71" s="1"/>
      <c r="J71" s="1"/>
      <c r="L71" s="4">
        <v>1.2555133079847907</v>
      </c>
      <c r="U71" s="1"/>
    </row>
    <row r="72" spans="2:21" x14ac:dyDescent="0.2">
      <c r="B72" s="2"/>
      <c r="I72" s="1"/>
      <c r="J72" s="1"/>
      <c r="L72" s="1">
        <v>0.85438202247190997</v>
      </c>
    </row>
    <row r="73" spans="2:21" x14ac:dyDescent="0.2">
      <c r="B73" s="2"/>
      <c r="I73" s="1"/>
      <c r="J73" s="1"/>
      <c r="L73" s="4">
        <v>0.66139817629179332</v>
      </c>
    </row>
    <row r="74" spans="2:21" x14ac:dyDescent="0.2">
      <c r="B74" s="2"/>
      <c r="I74" s="1"/>
      <c r="J74" s="1"/>
      <c r="L74" s="1">
        <v>0.78828510938602669</v>
      </c>
    </row>
    <row r="75" spans="2:21" x14ac:dyDescent="0.2">
      <c r="B75" s="2"/>
      <c r="I75" s="1"/>
      <c r="J75" s="1"/>
      <c r="L75" s="4">
        <v>0.597938144329897</v>
      </c>
    </row>
    <row r="76" spans="2:21" x14ac:dyDescent="0.2">
      <c r="B76" s="2"/>
      <c r="I76" s="1"/>
      <c r="J76" s="1"/>
      <c r="L76" s="1">
        <v>0.64360587002096437</v>
      </c>
    </row>
    <row r="77" spans="2:21" x14ac:dyDescent="0.2">
      <c r="B77" s="2"/>
      <c r="I77" s="1"/>
      <c r="J77" s="1"/>
      <c r="L77" s="4">
        <v>0.70343461030383081</v>
      </c>
    </row>
    <row r="78" spans="2:21" x14ac:dyDescent="0.2">
      <c r="B78" s="2"/>
      <c r="L78" s="1">
        <v>0.94005102040816324</v>
      </c>
    </row>
    <row r="79" spans="2:21" x14ac:dyDescent="0.2">
      <c r="B79" s="2"/>
      <c r="L79" s="1">
        <v>0.58901098901098892</v>
      </c>
    </row>
    <row r="80" spans="2:21" x14ac:dyDescent="0.2">
      <c r="L80" s="4">
        <v>0.98132935026138901</v>
      </c>
    </row>
    <row r="81" spans="12:12" x14ac:dyDescent="0.2">
      <c r="L81" s="1">
        <v>1.075031525851198</v>
      </c>
    </row>
    <row r="82" spans="12:12" x14ac:dyDescent="0.2">
      <c r="L82" s="4">
        <v>1.1510457010069715</v>
      </c>
    </row>
    <row r="83" spans="12:12" x14ac:dyDescent="0.2">
      <c r="L83" s="1">
        <v>1.3650577838205304</v>
      </c>
    </row>
    <row r="84" spans="12:12" x14ac:dyDescent="0.2">
      <c r="L84" s="1">
        <v>0.84633240482822636</v>
      </c>
    </row>
    <row r="85" spans="12:12" x14ac:dyDescent="0.2">
      <c r="L85" s="4">
        <v>0.85602605863192172</v>
      </c>
    </row>
    <row r="86" spans="12:12" x14ac:dyDescent="0.2">
      <c r="L86" s="1">
        <v>1.0250764525993883</v>
      </c>
    </row>
    <row r="87" spans="12:12" x14ac:dyDescent="0.2">
      <c r="L87" s="4">
        <v>0.9212938005390835</v>
      </c>
    </row>
    <row r="88" spans="12:12" x14ac:dyDescent="0.2">
      <c r="L88" s="1">
        <v>0.5668016194331984</v>
      </c>
    </row>
    <row r="89" spans="12:12" x14ac:dyDescent="0.2">
      <c r="L89" s="4">
        <v>1.1259615384615387</v>
      </c>
    </row>
    <row r="90" spans="12:12" x14ac:dyDescent="0.2">
      <c r="L90" s="1">
        <v>1.1499148211243611</v>
      </c>
    </row>
    <row r="91" spans="12:12" x14ac:dyDescent="0.2">
      <c r="L91" s="4">
        <v>0.69797570850202428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08DF-3BE2-C74C-BB26-C1DF8462486F}">
  <dimension ref="A1:F44"/>
  <sheetViews>
    <sheetView workbookViewId="0">
      <selection activeCell="C27" sqref="C27"/>
    </sheetView>
  </sheetViews>
  <sheetFormatPr defaultColWidth="10.875" defaultRowHeight="15" x14ac:dyDescent="0.2"/>
  <cols>
    <col min="1" max="16384" width="10.875" style="3"/>
  </cols>
  <sheetData>
    <row r="1" spans="1:6" x14ac:dyDescent="0.2">
      <c r="A1" s="3" t="s">
        <v>43</v>
      </c>
      <c r="B1" s="3" t="s">
        <v>46</v>
      </c>
      <c r="C1" s="3" t="s">
        <v>44</v>
      </c>
      <c r="D1" s="3" t="s">
        <v>47</v>
      </c>
      <c r="E1" s="3" t="s">
        <v>48</v>
      </c>
      <c r="F1" s="3" t="s">
        <v>49</v>
      </c>
    </row>
    <row r="2" spans="1:6" x14ac:dyDescent="0.2">
      <c r="A2" s="1" t="s">
        <v>12</v>
      </c>
    </row>
    <row r="3" spans="1:6" x14ac:dyDescent="0.2">
      <c r="A3" s="1" t="s">
        <v>13</v>
      </c>
    </row>
    <row r="4" spans="1:6" x14ac:dyDescent="0.2">
      <c r="A4" s="1" t="s">
        <v>14</v>
      </c>
    </row>
    <row r="5" spans="1:6" x14ac:dyDescent="0.2">
      <c r="A5" s="1" t="s">
        <v>15</v>
      </c>
    </row>
    <row r="6" spans="1:6" x14ac:dyDescent="0.2">
      <c r="A6" s="1" t="s">
        <v>16</v>
      </c>
    </row>
    <row r="8" spans="1:6" x14ac:dyDescent="0.2">
      <c r="A8" s="3" t="s">
        <v>7</v>
      </c>
    </row>
    <row r="9" spans="1:6" x14ac:dyDescent="0.2">
      <c r="A9" s="3" t="s">
        <v>8</v>
      </c>
    </row>
    <row r="10" spans="1:6" x14ac:dyDescent="0.2">
      <c r="A10" s="3" t="s">
        <v>9</v>
      </c>
    </row>
    <row r="11" spans="1:6" x14ac:dyDescent="0.2">
      <c r="A11" s="3" t="s">
        <v>10</v>
      </c>
    </row>
    <row r="12" spans="1:6" x14ac:dyDescent="0.2">
      <c r="A12" s="3" t="s">
        <v>11</v>
      </c>
    </row>
    <row r="14" spans="1:6" x14ac:dyDescent="0.2">
      <c r="A14" s="3" t="s">
        <v>21</v>
      </c>
    </row>
    <row r="15" spans="1:6" x14ac:dyDescent="0.2">
      <c r="A15" s="3" t="s">
        <v>22</v>
      </c>
    </row>
    <row r="16" spans="1:6" x14ac:dyDescent="0.2">
      <c r="A16" s="3" t="s">
        <v>23</v>
      </c>
    </row>
    <row r="17" spans="1:1" x14ac:dyDescent="0.2">
      <c r="A17" s="3" t="s">
        <v>24</v>
      </c>
    </row>
    <row r="19" spans="1:1" x14ac:dyDescent="0.2">
      <c r="A19" s="3" t="s">
        <v>17</v>
      </c>
    </row>
    <row r="20" spans="1:1" x14ac:dyDescent="0.2">
      <c r="A20" s="3" t="s">
        <v>18</v>
      </c>
    </row>
    <row r="21" spans="1:1" x14ac:dyDescent="0.2">
      <c r="A21" s="3" t="s">
        <v>19</v>
      </c>
    </row>
    <row r="22" spans="1:1" x14ac:dyDescent="0.2">
      <c r="A22" s="3" t="s">
        <v>20</v>
      </c>
    </row>
    <row r="24" spans="1:1" x14ac:dyDescent="0.2">
      <c r="A24" s="3" t="s">
        <v>25</v>
      </c>
    </row>
    <row r="25" spans="1:1" x14ac:dyDescent="0.2">
      <c r="A25" s="3" t="s">
        <v>26</v>
      </c>
    </row>
    <row r="26" spans="1:1" x14ac:dyDescent="0.2">
      <c r="A26" s="3" t="s">
        <v>27</v>
      </c>
    </row>
    <row r="27" spans="1:1" x14ac:dyDescent="0.2">
      <c r="A27" s="3" t="s">
        <v>28</v>
      </c>
    </row>
    <row r="28" spans="1:1" x14ac:dyDescent="0.2">
      <c r="A28" s="3" t="s">
        <v>29</v>
      </c>
    </row>
    <row r="30" spans="1:1" x14ac:dyDescent="0.2">
      <c r="A30" s="3" t="s">
        <v>30</v>
      </c>
    </row>
    <row r="31" spans="1:1" x14ac:dyDescent="0.2">
      <c r="A31" s="3" t="s">
        <v>31</v>
      </c>
    </row>
    <row r="32" spans="1:1" x14ac:dyDescent="0.2">
      <c r="A32" s="3" t="s">
        <v>32</v>
      </c>
    </row>
    <row r="33" spans="1:1" x14ac:dyDescent="0.2">
      <c r="A33" s="3" t="s">
        <v>33</v>
      </c>
    </row>
    <row r="34" spans="1:1" x14ac:dyDescent="0.2">
      <c r="A34" s="3" t="s">
        <v>34</v>
      </c>
    </row>
    <row r="36" spans="1:1" x14ac:dyDescent="0.2">
      <c r="A36" s="3" t="s">
        <v>35</v>
      </c>
    </row>
    <row r="37" spans="1:1" x14ac:dyDescent="0.2">
      <c r="A37" s="3" t="s">
        <v>36</v>
      </c>
    </row>
    <row r="38" spans="1:1" x14ac:dyDescent="0.2">
      <c r="A38" s="3" t="s">
        <v>37</v>
      </c>
    </row>
    <row r="39" spans="1:1" x14ac:dyDescent="0.2">
      <c r="A39" s="3" t="s">
        <v>38</v>
      </c>
    </row>
    <row r="41" spans="1:1" x14ac:dyDescent="0.2">
      <c r="A41" s="3" t="s">
        <v>39</v>
      </c>
    </row>
    <row r="42" spans="1:1" x14ac:dyDescent="0.2">
      <c r="A42" s="3" t="s">
        <v>40</v>
      </c>
    </row>
    <row r="43" spans="1:1" x14ac:dyDescent="0.2">
      <c r="A43" s="3" t="s">
        <v>41</v>
      </c>
    </row>
    <row r="44" spans="1:1" x14ac:dyDescent="0.2">
      <c r="A44" s="3" t="s">
        <v>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2CE2-3B15-4943-BAF8-16F36078F86E}">
  <dimension ref="A1:AM91"/>
  <sheetViews>
    <sheetView topLeftCell="A28" workbookViewId="0">
      <selection activeCell="M36" sqref="M36:N36"/>
    </sheetView>
  </sheetViews>
  <sheetFormatPr defaultColWidth="10.875" defaultRowHeight="15" x14ac:dyDescent="0.2"/>
  <cols>
    <col min="1" max="1" width="16.5" style="1" bestFit="1" customWidth="1"/>
    <col min="2" max="2" width="16.5" style="1" customWidth="1"/>
    <col min="3" max="7" width="10.875" style="1"/>
    <col min="8" max="16384" width="10.875" style="3"/>
  </cols>
  <sheetData>
    <row r="1" spans="1:3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Q1" s="1" t="s">
        <v>6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Y1" s="1" t="s">
        <v>6</v>
      </c>
      <c r="Z1" s="1" t="s">
        <v>0</v>
      </c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  <c r="AG1" s="1"/>
      <c r="AH1" s="1"/>
      <c r="AI1" s="1"/>
      <c r="AJ1" s="1"/>
      <c r="AK1" s="1"/>
      <c r="AL1" s="1"/>
      <c r="AM1" s="1"/>
    </row>
    <row r="2" spans="1:39" x14ac:dyDescent="0.2">
      <c r="A2" s="1" t="s">
        <v>12</v>
      </c>
      <c r="B2" s="2">
        <v>45294</v>
      </c>
      <c r="C2" s="30">
        <v>0.6</v>
      </c>
      <c r="D2" s="30">
        <v>8.83</v>
      </c>
      <c r="E2" s="1">
        <f>AVERAGE(C2:C3,C6)</f>
        <v>0.65333333333333332</v>
      </c>
      <c r="F2" s="1">
        <f>AVERAGE(D2:D4)</f>
        <v>8.57</v>
      </c>
      <c r="G2" s="1">
        <f>F2/E2</f>
        <v>13.11734693877551</v>
      </c>
      <c r="I2" s="1" t="s">
        <v>7</v>
      </c>
      <c r="J2" s="2">
        <v>45295</v>
      </c>
      <c r="K2" s="30">
        <v>1.53</v>
      </c>
      <c r="L2" s="1">
        <v>3.96</v>
      </c>
      <c r="M2" s="1">
        <f>AVERAGE(K2,K5:K6)</f>
        <v>0.98</v>
      </c>
      <c r="N2" s="1">
        <f>AVERAGE(L5:L6,L3)</f>
        <v>5.4533333333333331</v>
      </c>
      <c r="O2" s="1">
        <f>N2/M2</f>
        <v>5.5646258503401356</v>
      </c>
      <c r="Q2" s="3" t="s">
        <v>21</v>
      </c>
      <c r="R2" s="2">
        <v>45295</v>
      </c>
      <c r="S2" s="37">
        <v>0.52</v>
      </c>
      <c r="T2" s="3">
        <v>8.83</v>
      </c>
      <c r="U2" s="1">
        <f>AVERAGE(S5,S2:S3)</f>
        <v>1.0566666666666666</v>
      </c>
      <c r="V2" s="1">
        <f>AVERAGE(T5:T6,T4)</f>
        <v>6.4533333333333331</v>
      </c>
      <c r="W2" s="1">
        <f>V2/U2</f>
        <v>6.1072555205047321</v>
      </c>
      <c r="Y2" s="3" t="s">
        <v>17</v>
      </c>
      <c r="Z2" s="2">
        <v>45296</v>
      </c>
      <c r="AA2" s="37">
        <v>0.22</v>
      </c>
      <c r="AB2" s="37">
        <v>6.65</v>
      </c>
      <c r="AC2" s="1">
        <f>AVERAGE(AA2,AA5:AA6)</f>
        <v>0.70000000000000007</v>
      </c>
      <c r="AD2" s="1">
        <f>AVERAGE(AB2:AB3,AB4)</f>
        <v>7.1566666666666672</v>
      </c>
      <c r="AE2" s="1">
        <f>AD2/AC2</f>
        <v>10.223809523809523</v>
      </c>
      <c r="AH2" s="2"/>
      <c r="AK2" s="1"/>
      <c r="AL2" s="1"/>
      <c r="AM2" s="1"/>
    </row>
    <row r="3" spans="1:39" x14ac:dyDescent="0.2">
      <c r="B3" s="2">
        <v>45294</v>
      </c>
      <c r="C3" s="30">
        <v>0.56999999999999995</v>
      </c>
      <c r="D3" s="30">
        <v>8.16</v>
      </c>
      <c r="I3" s="1"/>
      <c r="J3" s="2">
        <v>45295</v>
      </c>
      <c r="K3" s="1">
        <v>0.23</v>
      </c>
      <c r="L3" s="30">
        <v>4.55</v>
      </c>
      <c r="M3" s="1"/>
      <c r="N3" s="1"/>
      <c r="O3" s="1"/>
      <c r="R3" s="2">
        <v>45295</v>
      </c>
      <c r="S3" s="37">
        <v>1.54</v>
      </c>
      <c r="T3" s="3">
        <v>3.72</v>
      </c>
      <c r="U3" s="1"/>
      <c r="V3" s="1"/>
      <c r="W3" s="1"/>
      <c r="Z3" s="2">
        <v>45296</v>
      </c>
      <c r="AA3" s="3">
        <v>0.13</v>
      </c>
      <c r="AB3" s="37">
        <v>6.86</v>
      </c>
      <c r="AC3" s="1"/>
      <c r="AD3" s="1"/>
      <c r="AE3" s="1"/>
      <c r="AH3" s="2"/>
      <c r="AK3" s="1"/>
      <c r="AL3" s="1"/>
      <c r="AM3" s="1"/>
    </row>
    <row r="4" spans="1:39" x14ac:dyDescent="0.2">
      <c r="B4" s="2">
        <v>45294</v>
      </c>
      <c r="C4" s="1">
        <v>0.26</v>
      </c>
      <c r="D4" s="30">
        <v>8.7200000000000006</v>
      </c>
      <c r="I4" s="1"/>
      <c r="J4" s="2">
        <v>45295</v>
      </c>
      <c r="K4" s="1">
        <v>1.77</v>
      </c>
      <c r="L4" s="1">
        <v>9.7200000000000006</v>
      </c>
      <c r="M4" s="1"/>
      <c r="N4" s="1"/>
      <c r="O4" s="1"/>
      <c r="R4" s="2">
        <v>45295</v>
      </c>
      <c r="S4" s="3">
        <v>0.33</v>
      </c>
      <c r="T4" s="37">
        <v>7.59</v>
      </c>
      <c r="U4" s="1"/>
      <c r="V4" s="1"/>
      <c r="W4" s="1"/>
      <c r="Z4" s="2">
        <v>45296</v>
      </c>
      <c r="AA4" s="3">
        <v>2.63</v>
      </c>
      <c r="AB4" s="37">
        <v>7.96</v>
      </c>
      <c r="AC4" s="1"/>
      <c r="AD4" s="1"/>
      <c r="AE4" s="1"/>
      <c r="AH4" s="2"/>
      <c r="AK4" s="1"/>
      <c r="AL4" s="1"/>
      <c r="AM4" s="1"/>
    </row>
    <row r="5" spans="1:39" x14ac:dyDescent="0.2">
      <c r="B5" s="2">
        <v>45294</v>
      </c>
      <c r="C5" s="1">
        <v>1.2</v>
      </c>
      <c r="D5" s="1">
        <v>9.6</v>
      </c>
      <c r="I5" s="1"/>
      <c r="J5" s="2">
        <v>45295</v>
      </c>
      <c r="K5" s="30">
        <v>1.01</v>
      </c>
      <c r="L5" s="30">
        <v>6.15</v>
      </c>
      <c r="M5" s="1"/>
      <c r="N5" s="1"/>
      <c r="O5" s="1"/>
      <c r="R5" s="2">
        <v>45295</v>
      </c>
      <c r="S5" s="37">
        <v>1.1100000000000001</v>
      </c>
      <c r="T5" s="37">
        <v>5.91</v>
      </c>
      <c r="U5" s="1"/>
      <c r="V5" s="1"/>
      <c r="W5" s="1"/>
      <c r="Z5" s="2">
        <v>45296</v>
      </c>
      <c r="AA5" s="37">
        <v>0.3</v>
      </c>
      <c r="AB5" s="3">
        <v>4.2</v>
      </c>
      <c r="AC5" s="1"/>
      <c r="AD5" s="1"/>
      <c r="AE5" s="1"/>
      <c r="AH5" s="2"/>
      <c r="AK5" s="1"/>
      <c r="AL5" s="1"/>
      <c r="AM5" s="1"/>
    </row>
    <row r="6" spans="1:39" x14ac:dyDescent="0.2">
      <c r="B6" s="2">
        <v>45294</v>
      </c>
      <c r="C6" s="30">
        <v>0.79</v>
      </c>
      <c r="D6" s="1">
        <v>5.51</v>
      </c>
      <c r="I6" s="1"/>
      <c r="J6" s="2">
        <v>45295</v>
      </c>
      <c r="K6" s="30">
        <v>0.4</v>
      </c>
      <c r="L6" s="30">
        <v>5.66</v>
      </c>
      <c r="M6" s="1"/>
      <c r="N6" s="1"/>
      <c r="O6" s="1"/>
      <c r="R6" s="2">
        <v>45295</v>
      </c>
      <c r="S6" s="3">
        <v>2.15</v>
      </c>
      <c r="T6" s="37">
        <v>5.86</v>
      </c>
      <c r="U6" s="1"/>
      <c r="V6" s="1"/>
      <c r="W6" s="1"/>
      <c r="Z6" s="2">
        <v>45296</v>
      </c>
      <c r="AA6" s="37">
        <v>1.58</v>
      </c>
      <c r="AB6" s="3">
        <v>8.09</v>
      </c>
      <c r="AC6" s="1"/>
      <c r="AD6" s="1"/>
      <c r="AE6" s="1"/>
      <c r="AH6" s="2"/>
      <c r="AK6" s="1"/>
      <c r="AL6" s="1"/>
      <c r="AM6" s="1"/>
    </row>
    <row r="7" spans="1:39" s="6" customFormat="1" x14ac:dyDescent="0.2">
      <c r="A7" s="4" t="s">
        <v>13</v>
      </c>
      <c r="B7" s="5">
        <v>45294</v>
      </c>
      <c r="C7" s="4">
        <v>0.17</v>
      </c>
      <c r="D7" s="39">
        <v>7.11</v>
      </c>
      <c r="E7" s="4">
        <f>AVERAGE(C9:C11)</f>
        <v>1.07</v>
      </c>
      <c r="F7" s="4">
        <f>AVERAGE(D7,D9,D11)</f>
        <v>5.956666666666667</v>
      </c>
      <c r="G7" s="4">
        <f>F7/E7</f>
        <v>5.5669781931464177</v>
      </c>
      <c r="I7" s="4" t="s">
        <v>9</v>
      </c>
      <c r="J7" s="5">
        <v>45295</v>
      </c>
      <c r="K7" s="4">
        <v>0.17</v>
      </c>
      <c r="L7" s="39">
        <v>3.7</v>
      </c>
      <c r="M7" s="4">
        <f>AVERAGE(K8:K10)</f>
        <v>0.70333333333333325</v>
      </c>
      <c r="N7" s="4">
        <f>AVERAGE(L7,L10,L11)</f>
        <v>5.4466666666666663</v>
      </c>
      <c r="O7" s="4">
        <f>N7/M7</f>
        <v>7.7440758293838865</v>
      </c>
      <c r="Q7" s="6" t="s">
        <v>22</v>
      </c>
      <c r="R7" s="5">
        <v>45295</v>
      </c>
      <c r="S7" s="38">
        <v>0.28000000000000003</v>
      </c>
      <c r="T7" s="38">
        <v>8.56</v>
      </c>
      <c r="U7" s="4">
        <f>AVERAGE(S9:S10,S7)</f>
        <v>0.33666666666666667</v>
      </c>
      <c r="V7" s="4">
        <f>AVERAGE(T7,T8,T9)</f>
        <v>6.4766666666666666</v>
      </c>
      <c r="W7" s="4">
        <f>V7/U7</f>
        <v>19.237623762376238</v>
      </c>
      <c r="Y7" s="6" t="s">
        <v>18</v>
      </c>
      <c r="Z7" s="5">
        <v>45296</v>
      </c>
      <c r="AA7" s="6">
        <v>4.21</v>
      </c>
      <c r="AB7" s="6">
        <v>3.71</v>
      </c>
      <c r="AC7" s="4">
        <f>AVERAGE(AA10:AA11,AA8)</f>
        <v>0.82666666666666677</v>
      </c>
      <c r="AD7" s="4">
        <f>AVERAGE(AB10,AB8,AB11)</f>
        <v>6.6133333333333333</v>
      </c>
      <c r="AE7" s="4">
        <f>AD7/AC7</f>
        <v>7.9999999999999991</v>
      </c>
      <c r="AH7" s="5"/>
      <c r="AK7" s="4"/>
      <c r="AL7" s="4"/>
      <c r="AM7" s="4"/>
    </row>
    <row r="8" spans="1:39" s="6" customFormat="1" x14ac:dyDescent="0.2">
      <c r="A8" s="4"/>
      <c r="B8" s="5">
        <v>45294</v>
      </c>
      <c r="C8" s="4">
        <v>1.71</v>
      </c>
      <c r="D8" s="4">
        <v>2.93</v>
      </c>
      <c r="E8" s="4"/>
      <c r="F8" s="4"/>
      <c r="G8" s="4"/>
      <c r="I8" s="4"/>
      <c r="J8" s="5">
        <v>45295</v>
      </c>
      <c r="K8" s="39">
        <v>0.46</v>
      </c>
      <c r="L8" s="4">
        <v>7.15</v>
      </c>
      <c r="M8" s="4"/>
      <c r="N8" s="4"/>
      <c r="O8" s="4"/>
      <c r="R8" s="5">
        <v>45295</v>
      </c>
      <c r="S8" s="6">
        <v>0.59</v>
      </c>
      <c r="T8" s="38">
        <v>4.42</v>
      </c>
      <c r="U8" s="4"/>
      <c r="V8" s="4"/>
      <c r="W8" s="4"/>
      <c r="Z8" s="5">
        <v>45296</v>
      </c>
      <c r="AA8" s="38">
        <v>1.0900000000000001</v>
      </c>
      <c r="AB8" s="38">
        <v>7.06</v>
      </c>
      <c r="AC8" s="4"/>
      <c r="AD8" s="4"/>
      <c r="AE8" s="4"/>
      <c r="AH8" s="5"/>
      <c r="AK8" s="4"/>
      <c r="AL8" s="4"/>
      <c r="AM8" s="4"/>
    </row>
    <row r="9" spans="1:39" s="6" customFormat="1" x14ac:dyDescent="0.2">
      <c r="A9" s="4"/>
      <c r="B9" s="5">
        <v>45294</v>
      </c>
      <c r="C9" s="39">
        <v>1.69</v>
      </c>
      <c r="D9" s="39">
        <v>4.83</v>
      </c>
      <c r="E9" s="4"/>
      <c r="F9" s="4"/>
      <c r="G9" s="4"/>
      <c r="I9" s="4"/>
      <c r="J9" s="5">
        <v>45295</v>
      </c>
      <c r="K9" s="39">
        <v>0.23</v>
      </c>
      <c r="L9" s="4">
        <v>0.95</v>
      </c>
      <c r="M9" s="4"/>
      <c r="N9" s="4"/>
      <c r="O9" s="4"/>
      <c r="R9" s="5">
        <v>45295</v>
      </c>
      <c r="S9" s="38">
        <v>0.4</v>
      </c>
      <c r="T9" s="38">
        <v>6.45</v>
      </c>
      <c r="U9" s="4"/>
      <c r="V9" s="4"/>
      <c r="W9" s="4"/>
      <c r="Z9" s="5">
        <v>45296</v>
      </c>
      <c r="AA9" s="6">
        <v>0.26</v>
      </c>
      <c r="AB9" s="6">
        <v>13.78</v>
      </c>
      <c r="AC9" s="4"/>
      <c r="AD9" s="4"/>
      <c r="AE9" s="4"/>
      <c r="AH9" s="5"/>
      <c r="AK9" s="4"/>
      <c r="AL9" s="4"/>
      <c r="AM9" s="4"/>
    </row>
    <row r="10" spans="1:39" s="6" customFormat="1" x14ac:dyDescent="0.2">
      <c r="A10" s="4"/>
      <c r="B10" s="5">
        <v>45294</v>
      </c>
      <c r="C10" s="39">
        <v>0.21</v>
      </c>
      <c r="D10" s="4">
        <v>8.44</v>
      </c>
      <c r="E10" s="4"/>
      <c r="F10" s="4"/>
      <c r="G10" s="4"/>
      <c r="I10" s="4"/>
      <c r="J10" s="5">
        <v>45295</v>
      </c>
      <c r="K10" s="39">
        <v>1.42</v>
      </c>
      <c r="L10" s="39">
        <v>6.1</v>
      </c>
      <c r="M10" s="4"/>
      <c r="N10" s="4"/>
      <c r="O10" s="4"/>
      <c r="R10" s="5">
        <v>45295</v>
      </c>
      <c r="S10" s="38">
        <v>0.33</v>
      </c>
      <c r="T10" s="6">
        <v>1.75</v>
      </c>
      <c r="U10" s="4"/>
      <c r="V10" s="4"/>
      <c r="W10" s="4"/>
      <c r="Z10" s="5">
        <v>45296</v>
      </c>
      <c r="AA10" s="38">
        <v>0.74</v>
      </c>
      <c r="AB10" s="38">
        <v>6.8</v>
      </c>
      <c r="AC10" s="4"/>
      <c r="AD10" s="4"/>
      <c r="AE10" s="4"/>
      <c r="AH10" s="5"/>
      <c r="AK10" s="4"/>
      <c r="AL10" s="4"/>
      <c r="AM10" s="4"/>
    </row>
    <row r="11" spans="1:39" s="6" customFormat="1" x14ac:dyDescent="0.2">
      <c r="A11" s="4"/>
      <c r="B11" s="5">
        <v>45294</v>
      </c>
      <c r="C11" s="39">
        <v>1.31</v>
      </c>
      <c r="D11" s="39">
        <v>5.93</v>
      </c>
      <c r="E11" s="4"/>
      <c r="F11" s="4"/>
      <c r="G11" s="4"/>
      <c r="I11" s="4"/>
      <c r="J11" s="5">
        <v>45295</v>
      </c>
      <c r="K11" s="4">
        <v>1.42</v>
      </c>
      <c r="L11" s="39">
        <v>6.54</v>
      </c>
      <c r="M11" s="4"/>
      <c r="N11" s="4"/>
      <c r="O11" s="4"/>
      <c r="R11" s="5">
        <v>45295</v>
      </c>
      <c r="S11" s="6">
        <v>0.22</v>
      </c>
      <c r="T11" s="6">
        <v>10.49</v>
      </c>
      <c r="U11" s="4"/>
      <c r="V11" s="4"/>
      <c r="W11" s="4"/>
      <c r="Z11" s="5">
        <v>45296</v>
      </c>
      <c r="AA11" s="38">
        <v>0.65</v>
      </c>
      <c r="AB11" s="38">
        <v>5.98</v>
      </c>
      <c r="AC11" s="4"/>
      <c r="AD11" s="4"/>
      <c r="AE11" s="4"/>
      <c r="AH11" s="5"/>
      <c r="AK11" s="4"/>
      <c r="AL11" s="4"/>
      <c r="AM11" s="4"/>
    </row>
    <row r="12" spans="1:39" x14ac:dyDescent="0.2">
      <c r="A12" s="1" t="s">
        <v>14</v>
      </c>
      <c r="B12" s="2">
        <v>45294</v>
      </c>
      <c r="C12" s="1">
        <v>1.97</v>
      </c>
      <c r="D12" s="1">
        <v>7.78</v>
      </c>
      <c r="E12" s="1">
        <f>AVERAGE(C13:C15)</f>
        <v>0.96</v>
      </c>
      <c r="F12" s="1">
        <f>AVERAGE(D14:D16)</f>
        <v>6.3</v>
      </c>
      <c r="G12" s="1">
        <f>F12/E12</f>
        <v>6.5625</v>
      </c>
      <c r="I12" s="1" t="s">
        <v>10</v>
      </c>
      <c r="J12" s="2">
        <v>45295</v>
      </c>
      <c r="K12" s="30">
        <v>0.35</v>
      </c>
      <c r="L12" s="30">
        <v>5.28</v>
      </c>
      <c r="M12" s="1">
        <f>AVERAGE(K12:K13,K15)</f>
        <v>0.39999999999999997</v>
      </c>
      <c r="N12" s="1">
        <f>AVERAGE(L12:L13,L15)</f>
        <v>5.4233333333333347</v>
      </c>
      <c r="O12" s="1">
        <f>N12/M12</f>
        <v>13.558333333333337</v>
      </c>
      <c r="Q12" s="3" t="s">
        <v>23</v>
      </c>
      <c r="R12" s="2">
        <v>45295</v>
      </c>
      <c r="S12" s="3">
        <v>0.12</v>
      </c>
      <c r="T12" s="3">
        <v>3.13</v>
      </c>
      <c r="U12" s="1">
        <f>AVERAGE(S13:S14,S15)</f>
        <v>0.25666666666666665</v>
      </c>
      <c r="V12" s="1">
        <f>AVERAGE(T13:T14,T16)</f>
        <v>6.64</v>
      </c>
      <c r="W12" s="1">
        <f>V12/U12</f>
        <v>25.870129870129869</v>
      </c>
      <c r="Y12" s="3" t="s">
        <v>19</v>
      </c>
      <c r="Z12" s="2">
        <v>45296</v>
      </c>
      <c r="AA12" s="37">
        <v>1.52</v>
      </c>
      <c r="AB12" s="3">
        <v>9.81</v>
      </c>
      <c r="AC12" s="1">
        <f>AVERAGE(AA15:AA16,AA12)</f>
        <v>1.0133333333333334</v>
      </c>
      <c r="AD12" s="1">
        <f>AVERAGE(AB14:AB15,AB16)</f>
        <v>6.18</v>
      </c>
      <c r="AE12" s="1">
        <f>AD12/AC12</f>
        <v>6.098684210526315</v>
      </c>
      <c r="AH12" s="2"/>
      <c r="AK12" s="1"/>
      <c r="AL12" s="1"/>
      <c r="AM12" s="1"/>
    </row>
    <row r="13" spans="1:39" x14ac:dyDescent="0.2">
      <c r="B13" s="2">
        <v>45294</v>
      </c>
      <c r="C13" s="30">
        <v>1</v>
      </c>
      <c r="D13" s="1">
        <v>2.63</v>
      </c>
      <c r="I13" s="1"/>
      <c r="J13" s="2">
        <v>45295</v>
      </c>
      <c r="K13" s="30">
        <v>0.41</v>
      </c>
      <c r="L13" s="30">
        <v>6.5</v>
      </c>
      <c r="M13" s="1"/>
      <c r="N13" s="1"/>
      <c r="O13" s="1"/>
      <c r="R13" s="2">
        <v>45295</v>
      </c>
      <c r="S13" s="37">
        <v>0.16</v>
      </c>
      <c r="T13" s="37">
        <v>6.59</v>
      </c>
      <c r="U13" s="1"/>
      <c r="V13" s="1"/>
      <c r="W13" s="1"/>
      <c r="Z13" s="2">
        <v>45296</v>
      </c>
      <c r="AA13" s="3">
        <v>0.3</v>
      </c>
      <c r="AB13" s="3">
        <v>4.87</v>
      </c>
      <c r="AC13" s="1"/>
      <c r="AD13" s="1"/>
      <c r="AE13" s="1"/>
      <c r="AH13" s="2"/>
      <c r="AK13" s="1"/>
      <c r="AL13" s="1"/>
      <c r="AM13" s="1"/>
    </row>
    <row r="14" spans="1:39" x14ac:dyDescent="0.2">
      <c r="B14" s="2">
        <v>45294</v>
      </c>
      <c r="C14" s="30">
        <v>1.71</v>
      </c>
      <c r="D14" s="30">
        <v>4.04</v>
      </c>
      <c r="I14" s="1"/>
      <c r="J14" s="2">
        <v>45295</v>
      </c>
      <c r="K14" s="1">
        <v>0.2</v>
      </c>
      <c r="L14" s="1">
        <v>8.42</v>
      </c>
      <c r="M14" s="1"/>
      <c r="N14" s="1"/>
      <c r="O14" s="1"/>
      <c r="R14" s="2">
        <v>45295</v>
      </c>
      <c r="S14" s="37">
        <v>0.15</v>
      </c>
      <c r="T14" s="37">
        <v>5.95</v>
      </c>
      <c r="U14" s="1"/>
      <c r="V14" s="1"/>
      <c r="W14" s="1"/>
      <c r="Z14" s="2">
        <v>45296</v>
      </c>
      <c r="AA14" s="3">
        <v>1.61</v>
      </c>
      <c r="AB14" s="37">
        <v>6.68</v>
      </c>
      <c r="AC14" s="1"/>
      <c r="AD14" s="1"/>
      <c r="AE14" s="1"/>
      <c r="AH14" s="2"/>
      <c r="AK14" s="1"/>
      <c r="AL14" s="1"/>
      <c r="AM14" s="1"/>
    </row>
    <row r="15" spans="1:39" x14ac:dyDescent="0.2">
      <c r="B15" s="2">
        <v>45294</v>
      </c>
      <c r="C15" s="30">
        <v>0.17</v>
      </c>
      <c r="D15" s="30">
        <v>7.2</v>
      </c>
      <c r="I15" s="1"/>
      <c r="J15" s="2">
        <v>45295</v>
      </c>
      <c r="K15" s="30">
        <v>0.44</v>
      </c>
      <c r="L15" s="30">
        <v>4.49</v>
      </c>
      <c r="M15" s="1"/>
      <c r="N15" s="1"/>
      <c r="O15" s="1"/>
      <c r="R15" s="2">
        <v>45295</v>
      </c>
      <c r="S15" s="37">
        <v>0.46</v>
      </c>
      <c r="T15" s="3">
        <v>13.45</v>
      </c>
      <c r="U15" s="1"/>
      <c r="V15" s="1"/>
      <c r="W15" s="1"/>
      <c r="Z15" s="2">
        <v>45296</v>
      </c>
      <c r="AA15" s="37">
        <v>1.1599999999999999</v>
      </c>
      <c r="AB15" s="37">
        <v>6.45</v>
      </c>
      <c r="AC15" s="1"/>
      <c r="AD15" s="1"/>
      <c r="AE15" s="1"/>
      <c r="AH15" s="2"/>
      <c r="AK15" s="1"/>
      <c r="AL15" s="1"/>
      <c r="AM15" s="1"/>
    </row>
    <row r="16" spans="1:39" x14ac:dyDescent="0.2">
      <c r="B16" s="2">
        <v>45294</v>
      </c>
      <c r="C16" s="1">
        <v>0.14000000000000001</v>
      </c>
      <c r="D16" s="30">
        <v>7.66</v>
      </c>
      <c r="I16" s="1"/>
      <c r="J16" s="2">
        <v>45295</v>
      </c>
      <c r="K16" s="1">
        <v>0.45</v>
      </c>
      <c r="L16" s="1">
        <v>4.07</v>
      </c>
      <c r="M16" s="1"/>
      <c r="N16" s="1"/>
      <c r="O16" s="1"/>
      <c r="R16" s="2">
        <v>45295</v>
      </c>
      <c r="S16" s="3">
        <v>0.48</v>
      </c>
      <c r="T16" s="37">
        <v>7.38</v>
      </c>
      <c r="U16" s="1"/>
      <c r="V16" s="1"/>
      <c r="W16" s="1"/>
      <c r="Z16" s="2">
        <v>45296</v>
      </c>
      <c r="AA16" s="37">
        <v>0.36</v>
      </c>
      <c r="AB16" s="37">
        <v>5.41</v>
      </c>
      <c r="AC16" s="1"/>
      <c r="AD16" s="1"/>
      <c r="AE16" s="1"/>
      <c r="AH16" s="2"/>
      <c r="AK16" s="1"/>
      <c r="AL16" s="1"/>
      <c r="AM16" s="1"/>
    </row>
    <row r="17" spans="1:39" s="6" customFormat="1" x14ac:dyDescent="0.2">
      <c r="A17" s="4" t="s">
        <v>15</v>
      </c>
      <c r="B17" s="5">
        <v>45294</v>
      </c>
      <c r="C17" s="39">
        <v>0.59</v>
      </c>
      <c r="D17" s="4">
        <v>3.81</v>
      </c>
      <c r="E17" s="4">
        <f>AVERAGE(C17,C19:C20)</f>
        <v>1.2033333333333334</v>
      </c>
      <c r="F17" s="4">
        <f>AVERAGE(D18,D20:D21)</f>
        <v>4.4933333333333332</v>
      </c>
      <c r="G17" s="4">
        <f>F17/E17</f>
        <v>3.7340720221606647</v>
      </c>
      <c r="I17" s="4" t="s">
        <v>11</v>
      </c>
      <c r="J17" s="5">
        <v>45295</v>
      </c>
      <c r="K17" s="4">
        <v>7.79</v>
      </c>
      <c r="L17" s="39">
        <v>5.68</v>
      </c>
      <c r="M17" s="4">
        <f>AVERAGE(K18,K19:K20)</f>
        <v>1.0533333333333335</v>
      </c>
      <c r="N17" s="4">
        <f>AVERAGE(L17,L19:L20)</f>
        <v>6.6099999999999994</v>
      </c>
      <c r="O17" s="4">
        <f>N17/M17</f>
        <v>6.2753164556962009</v>
      </c>
      <c r="Q17" s="6" t="s">
        <v>24</v>
      </c>
      <c r="R17" s="5">
        <v>45295</v>
      </c>
      <c r="S17" s="38">
        <v>0.41</v>
      </c>
      <c r="T17" s="6">
        <v>9.2899999999999991</v>
      </c>
      <c r="U17" s="4">
        <f>AVERAGE(S17,S19,S21)</f>
        <v>0.23333333333333331</v>
      </c>
      <c r="V17" s="4">
        <f>AVERAGE(T18,T20:T21)</f>
        <v>5.9633333333333338</v>
      </c>
      <c r="W17" s="4">
        <f>V17/U17</f>
        <v>25.55714285714286</v>
      </c>
      <c r="Y17" s="6" t="s">
        <v>20</v>
      </c>
      <c r="Z17" s="5">
        <v>45296</v>
      </c>
      <c r="AA17" s="38">
        <v>1.61</v>
      </c>
      <c r="AB17" s="38">
        <v>9.76</v>
      </c>
      <c r="AC17" s="4">
        <f>AVERAGE(AA17,AA18,AA20)</f>
        <v>1.0966666666666667</v>
      </c>
      <c r="AD17" s="4">
        <f>AVERAGE(AB21,AB17:AB18)</f>
        <v>8.2266666666666666</v>
      </c>
      <c r="AE17" s="4">
        <f>AD17/AC17</f>
        <v>7.5015197568389054</v>
      </c>
      <c r="AH17" s="5"/>
      <c r="AK17" s="4"/>
      <c r="AL17" s="4"/>
      <c r="AM17" s="4"/>
    </row>
    <row r="18" spans="1:39" s="6" customFormat="1" x14ac:dyDescent="0.2">
      <c r="A18" s="4"/>
      <c r="B18" s="5">
        <v>45294</v>
      </c>
      <c r="C18" s="4">
        <v>2.88</v>
      </c>
      <c r="D18" s="39">
        <v>4.53</v>
      </c>
      <c r="E18" s="4"/>
      <c r="F18" s="4"/>
      <c r="G18" s="4"/>
      <c r="I18" s="4"/>
      <c r="J18" s="5">
        <v>45295</v>
      </c>
      <c r="K18" s="39">
        <v>2.39</v>
      </c>
      <c r="L18" s="4">
        <v>4.1500000000000004</v>
      </c>
      <c r="M18" s="4"/>
      <c r="N18" s="4"/>
      <c r="O18" s="4"/>
      <c r="R18" s="5">
        <v>45295</v>
      </c>
      <c r="S18" s="6">
        <v>0.66</v>
      </c>
      <c r="T18" s="38">
        <v>3.61</v>
      </c>
      <c r="W18" s="4"/>
      <c r="Z18" s="5">
        <v>45296</v>
      </c>
      <c r="AA18" s="38">
        <v>0.47</v>
      </c>
      <c r="AB18" s="38">
        <v>8.01</v>
      </c>
      <c r="AE18" s="4"/>
      <c r="AH18" s="5"/>
      <c r="AM18" s="4"/>
    </row>
    <row r="19" spans="1:39" s="6" customFormat="1" x14ac:dyDescent="0.2">
      <c r="A19" s="4"/>
      <c r="B19" s="5">
        <v>45294</v>
      </c>
      <c r="C19" s="39">
        <v>1.8</v>
      </c>
      <c r="D19" s="4">
        <v>6.88</v>
      </c>
      <c r="E19" s="4"/>
      <c r="F19" s="4"/>
      <c r="G19" s="4"/>
      <c r="I19" s="4"/>
      <c r="J19" s="5">
        <v>45295</v>
      </c>
      <c r="K19" s="39">
        <v>0.61</v>
      </c>
      <c r="L19" s="39">
        <v>6.8</v>
      </c>
      <c r="M19" s="4"/>
      <c r="N19" s="4"/>
      <c r="O19" s="4"/>
      <c r="R19" s="5">
        <v>45295</v>
      </c>
      <c r="S19" s="38">
        <v>0.16</v>
      </c>
      <c r="T19" s="6">
        <v>3.72</v>
      </c>
      <c r="W19" s="4"/>
      <c r="Z19" s="5">
        <v>45296</v>
      </c>
      <c r="AA19" s="6">
        <v>1.95</v>
      </c>
      <c r="AB19" s="6">
        <v>13.08</v>
      </c>
      <c r="AE19" s="4"/>
      <c r="AH19" s="5"/>
      <c r="AM19" s="4"/>
    </row>
    <row r="20" spans="1:39" s="6" customFormat="1" x14ac:dyDescent="0.2">
      <c r="A20" s="4"/>
      <c r="B20" s="5">
        <v>45294</v>
      </c>
      <c r="C20" s="39">
        <v>1.22</v>
      </c>
      <c r="D20" s="39">
        <v>4.32</v>
      </c>
      <c r="E20" s="4"/>
      <c r="F20" s="4"/>
      <c r="G20" s="4"/>
      <c r="I20" s="4"/>
      <c r="J20" s="5">
        <v>45295</v>
      </c>
      <c r="K20" s="39">
        <v>0.16</v>
      </c>
      <c r="L20" s="39">
        <v>7.35</v>
      </c>
      <c r="M20" s="4"/>
      <c r="N20" s="4"/>
      <c r="O20" s="4"/>
      <c r="R20" s="5">
        <v>45295</v>
      </c>
      <c r="S20" s="6">
        <v>0.11</v>
      </c>
      <c r="T20" s="38">
        <v>7.23</v>
      </c>
      <c r="W20" s="4"/>
      <c r="Z20" s="5">
        <v>45296</v>
      </c>
      <c r="AA20" s="38">
        <v>1.21</v>
      </c>
      <c r="AB20" s="6">
        <v>5.96</v>
      </c>
      <c r="AE20" s="4"/>
      <c r="AH20" s="5"/>
      <c r="AM20" s="4"/>
    </row>
    <row r="21" spans="1:39" s="6" customFormat="1" x14ac:dyDescent="0.2">
      <c r="A21" s="4"/>
      <c r="B21" s="5">
        <v>45294</v>
      </c>
      <c r="C21" s="4">
        <v>0.25</v>
      </c>
      <c r="D21" s="39">
        <v>4.63</v>
      </c>
      <c r="E21" s="4"/>
      <c r="F21" s="4"/>
      <c r="G21" s="4"/>
      <c r="I21" s="4"/>
      <c r="J21" s="5">
        <v>45295</v>
      </c>
      <c r="K21" s="4">
        <v>0.13</v>
      </c>
      <c r="L21" s="4">
        <v>7.76</v>
      </c>
      <c r="M21" s="4"/>
      <c r="N21" s="4"/>
      <c r="O21" s="4"/>
      <c r="R21" s="5">
        <v>45295</v>
      </c>
      <c r="S21" s="38">
        <v>0.13</v>
      </c>
      <c r="T21" s="38">
        <v>7.05</v>
      </c>
      <c r="W21" s="4"/>
      <c r="Z21" s="5">
        <v>45296</v>
      </c>
      <c r="AA21" s="6">
        <v>0.06</v>
      </c>
      <c r="AB21" s="38">
        <v>6.91</v>
      </c>
      <c r="AE21" s="4"/>
      <c r="AH21" s="5"/>
      <c r="AM21" s="4"/>
    </row>
    <row r="22" spans="1:39" x14ac:dyDescent="0.2">
      <c r="A22" s="1" t="s">
        <v>16</v>
      </c>
      <c r="B22" s="2">
        <v>45294</v>
      </c>
      <c r="C22" s="30">
        <v>1.22</v>
      </c>
      <c r="D22" s="30">
        <v>8.59</v>
      </c>
      <c r="E22" s="1">
        <f>AVERAGE(C22:C23,C25)</f>
        <v>0.69666666666666666</v>
      </c>
      <c r="F22" s="1">
        <f>AVERAGE(D22:D24)</f>
        <v>7.9066666666666663</v>
      </c>
      <c r="G22" s="1">
        <f>F22/E22</f>
        <v>11.349282296650717</v>
      </c>
      <c r="I22" s="1"/>
      <c r="J22" s="2"/>
      <c r="K22" s="1"/>
      <c r="L22" s="1"/>
      <c r="M22" s="1"/>
      <c r="N22" s="1"/>
      <c r="O22" s="1"/>
      <c r="R22" s="2"/>
      <c r="W22" s="1"/>
      <c r="AG22" s="1"/>
      <c r="AH22" s="2"/>
      <c r="AI22" s="1"/>
      <c r="AJ22" s="1"/>
      <c r="AK22" s="1"/>
      <c r="AL22" s="1"/>
      <c r="AM22" s="1"/>
    </row>
    <row r="23" spans="1:39" x14ac:dyDescent="0.2">
      <c r="B23" s="2">
        <v>45294</v>
      </c>
      <c r="C23" s="30">
        <v>0.71</v>
      </c>
      <c r="D23" s="30">
        <v>8.6999999999999993</v>
      </c>
      <c r="I23" s="1"/>
      <c r="J23" s="2"/>
      <c r="K23" s="1"/>
      <c r="L23" s="1"/>
      <c r="M23" s="1"/>
      <c r="N23" s="1"/>
      <c r="O23" s="1"/>
      <c r="R23" s="2"/>
      <c r="AG23" s="1"/>
      <c r="AH23" s="2"/>
      <c r="AI23" s="1"/>
      <c r="AJ23" s="1"/>
      <c r="AK23" s="1"/>
      <c r="AL23" s="1"/>
      <c r="AM23" s="1"/>
    </row>
    <row r="24" spans="1:39" x14ac:dyDescent="0.2">
      <c r="B24" s="2">
        <v>45294</v>
      </c>
      <c r="C24" s="1">
        <v>3.43</v>
      </c>
      <c r="D24" s="30">
        <v>6.43</v>
      </c>
      <c r="I24" s="1"/>
      <c r="J24" s="2"/>
      <c r="K24" s="1"/>
      <c r="L24" s="1"/>
      <c r="M24" s="1"/>
      <c r="N24" s="1"/>
      <c r="O24" s="1"/>
      <c r="R24" s="2"/>
      <c r="AG24" s="1"/>
      <c r="AH24" s="2"/>
      <c r="AI24" s="1"/>
      <c r="AJ24" s="1"/>
      <c r="AK24" s="1"/>
      <c r="AL24" s="1"/>
      <c r="AM24" s="1"/>
    </row>
    <row r="25" spans="1:39" x14ac:dyDescent="0.2">
      <c r="B25" s="2">
        <v>45294</v>
      </c>
      <c r="C25" s="30">
        <v>0.16</v>
      </c>
      <c r="D25" s="1">
        <v>6.23</v>
      </c>
      <c r="I25" s="1"/>
      <c r="J25" s="2"/>
      <c r="K25" s="1"/>
      <c r="L25" s="1"/>
      <c r="M25" s="1"/>
      <c r="N25" s="1"/>
      <c r="O25" s="1"/>
      <c r="R25" s="2"/>
      <c r="AG25" s="1"/>
      <c r="AH25" s="2"/>
      <c r="AI25" s="1"/>
      <c r="AJ25" s="1"/>
      <c r="AK25" s="1"/>
      <c r="AL25" s="1"/>
      <c r="AM25" s="1"/>
    </row>
    <row r="26" spans="1:39" x14ac:dyDescent="0.2">
      <c r="B26" s="2">
        <v>45294</v>
      </c>
      <c r="C26" s="1">
        <v>0.11</v>
      </c>
      <c r="D26" s="1">
        <v>9.99</v>
      </c>
      <c r="I26" s="1"/>
      <c r="J26" s="2"/>
      <c r="K26" s="1"/>
      <c r="L26" s="1"/>
      <c r="M26" s="1"/>
      <c r="N26" s="1"/>
      <c r="O26" s="1"/>
      <c r="R26" s="2"/>
      <c r="AG26" s="1"/>
      <c r="AH26" s="2"/>
      <c r="AI26" s="1"/>
      <c r="AJ26" s="1"/>
      <c r="AK26" s="1"/>
      <c r="AL26" s="1"/>
      <c r="AM26" s="1"/>
    </row>
    <row r="30" spans="1:39" x14ac:dyDescent="0.2">
      <c r="A30" s="1" t="s">
        <v>6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I30" s="1" t="s">
        <v>6</v>
      </c>
      <c r="J30" s="1" t="s">
        <v>0</v>
      </c>
      <c r="K30" s="1" t="s">
        <v>1</v>
      </c>
      <c r="L30" s="1" t="s">
        <v>2</v>
      </c>
      <c r="M30" s="1" t="s">
        <v>3</v>
      </c>
      <c r="N30" s="1" t="s">
        <v>4</v>
      </c>
      <c r="O30" s="1" t="s">
        <v>5</v>
      </c>
      <c r="Q30" s="1" t="s">
        <v>6</v>
      </c>
      <c r="R30" s="1" t="s">
        <v>0</v>
      </c>
      <c r="S30" s="1" t="s">
        <v>1</v>
      </c>
      <c r="T30" s="1" t="s">
        <v>2</v>
      </c>
      <c r="U30" s="1" t="s">
        <v>3</v>
      </c>
      <c r="V30" s="1" t="s">
        <v>4</v>
      </c>
      <c r="W30" s="1" t="s">
        <v>5</v>
      </c>
      <c r="Y30" s="1" t="s">
        <v>6</v>
      </c>
      <c r="Z30" s="1" t="s">
        <v>0</v>
      </c>
      <c r="AA30" s="1" t="s">
        <v>1</v>
      </c>
      <c r="AB30" s="1" t="s">
        <v>2</v>
      </c>
      <c r="AC30" s="1" t="s">
        <v>3</v>
      </c>
      <c r="AD30" s="1" t="s">
        <v>4</v>
      </c>
      <c r="AE30" s="1" t="s">
        <v>5</v>
      </c>
    </row>
    <row r="31" spans="1:39" x14ac:dyDescent="0.2">
      <c r="A31" s="1" t="s">
        <v>25</v>
      </c>
      <c r="B31" s="2">
        <v>45294</v>
      </c>
      <c r="C31" s="30">
        <v>0.57999999999999996</v>
      </c>
      <c r="D31" s="1">
        <v>2.69</v>
      </c>
      <c r="E31" s="1">
        <f>AVERAGE(C31:C32,C33)</f>
        <v>0.56000000000000005</v>
      </c>
      <c r="F31" s="1">
        <f>AVERAGE(D32:D33,D35)</f>
        <v>4.8600000000000003</v>
      </c>
      <c r="G31" s="1">
        <f>F31/E31</f>
        <v>8.6785714285714288</v>
      </c>
      <c r="I31" s="3" t="s">
        <v>30</v>
      </c>
      <c r="J31" s="2">
        <v>45296</v>
      </c>
      <c r="K31" s="37">
        <v>3.27</v>
      </c>
      <c r="L31" s="3">
        <v>4.83</v>
      </c>
      <c r="M31" s="1">
        <f>AVERAGE(K31,K33:K34)</f>
        <v>2.6366666666666667</v>
      </c>
      <c r="N31" s="1">
        <f>AVERAGE(L33:L34,L32)</f>
        <v>6.1766666666666667</v>
      </c>
      <c r="O31" s="1">
        <f>N31/M31</f>
        <v>2.3426042983565107</v>
      </c>
      <c r="Q31" s="3" t="s">
        <v>35</v>
      </c>
      <c r="R31" s="2">
        <v>45295</v>
      </c>
      <c r="S31" s="37">
        <v>2.4900000000000002</v>
      </c>
      <c r="T31" s="3">
        <v>2.92</v>
      </c>
      <c r="U31" s="1">
        <f>AVERAGE(S34,S31:S32)</f>
        <v>3.0466666666666669</v>
      </c>
      <c r="V31" s="1">
        <f>AVERAGE(T34:T35,T32)</f>
        <v>4.206666666666667</v>
      </c>
      <c r="W31" s="1">
        <f>V31/U31</f>
        <v>1.3807439824945296</v>
      </c>
      <c r="Y31" s="3" t="s">
        <v>39</v>
      </c>
      <c r="Z31" s="2">
        <v>45296</v>
      </c>
      <c r="AA31" s="3">
        <v>0.54</v>
      </c>
      <c r="AB31" s="37">
        <v>3.92</v>
      </c>
      <c r="AC31" s="1">
        <f>AVERAGE(AA34,AA32:AA33)</f>
        <v>0.18333333333333335</v>
      </c>
      <c r="AD31" s="1">
        <f>AVERAGE(AB34:AB35,AB31)</f>
        <v>3.9833333333333338</v>
      </c>
      <c r="AE31" s="1">
        <f>AD31/AC31</f>
        <v>21.727272727272727</v>
      </c>
    </row>
    <row r="32" spans="1:39" x14ac:dyDescent="0.2">
      <c r="A32" s="3"/>
      <c r="B32" s="2">
        <v>45294</v>
      </c>
      <c r="C32" s="30">
        <v>0.75</v>
      </c>
      <c r="D32" s="30">
        <v>5.32</v>
      </c>
      <c r="J32" s="2">
        <v>45296</v>
      </c>
      <c r="K32" s="3">
        <v>5.85</v>
      </c>
      <c r="L32" s="37">
        <v>6.25</v>
      </c>
      <c r="M32" s="1"/>
      <c r="N32" s="1"/>
      <c r="O32" s="1"/>
      <c r="R32" s="2">
        <v>45295</v>
      </c>
      <c r="S32" s="37">
        <v>1.71</v>
      </c>
      <c r="T32" s="37">
        <v>4.82</v>
      </c>
      <c r="U32" s="1"/>
      <c r="V32" s="1"/>
      <c r="W32" s="1"/>
      <c r="Z32" s="2">
        <v>45296</v>
      </c>
      <c r="AA32" s="37">
        <v>0.05</v>
      </c>
      <c r="AB32" s="3">
        <v>4.3099999999999996</v>
      </c>
      <c r="AC32" s="1"/>
      <c r="AD32" s="1"/>
      <c r="AE32" s="1"/>
    </row>
    <row r="33" spans="1:31" x14ac:dyDescent="0.2">
      <c r="A33" s="3"/>
      <c r="B33" s="2">
        <v>45294</v>
      </c>
      <c r="C33" s="30">
        <v>0.35</v>
      </c>
      <c r="D33" s="30">
        <v>3.31</v>
      </c>
      <c r="J33" s="2">
        <v>45296</v>
      </c>
      <c r="K33" s="37">
        <v>3.07</v>
      </c>
      <c r="L33" s="37">
        <v>5.53</v>
      </c>
      <c r="M33" s="1"/>
      <c r="N33" s="1"/>
      <c r="O33" s="1"/>
      <c r="R33" s="2">
        <v>45295</v>
      </c>
      <c r="S33" s="3">
        <v>1.45</v>
      </c>
      <c r="T33" s="3">
        <v>7.24</v>
      </c>
      <c r="U33" s="1"/>
      <c r="V33" s="1"/>
      <c r="W33" s="1"/>
      <c r="Z33" s="2">
        <v>45296</v>
      </c>
      <c r="AA33" s="37">
        <v>0.42</v>
      </c>
      <c r="AB33" s="3">
        <v>2.2200000000000002</v>
      </c>
      <c r="AC33" s="1"/>
      <c r="AD33" s="1"/>
      <c r="AE33" s="1"/>
    </row>
    <row r="34" spans="1:31" x14ac:dyDescent="0.2">
      <c r="A34" s="3"/>
      <c r="B34" s="2">
        <v>45294</v>
      </c>
      <c r="C34" s="1">
        <v>3.7</v>
      </c>
      <c r="D34" s="1">
        <v>8.15</v>
      </c>
      <c r="J34" s="2">
        <v>45296</v>
      </c>
      <c r="K34" s="37">
        <v>1.57</v>
      </c>
      <c r="L34" s="37">
        <v>6.75</v>
      </c>
      <c r="M34" s="1"/>
      <c r="N34" s="1"/>
      <c r="O34" s="1"/>
      <c r="R34" s="2">
        <v>45295</v>
      </c>
      <c r="S34" s="37">
        <v>4.9400000000000004</v>
      </c>
      <c r="T34" s="37">
        <v>2.86</v>
      </c>
      <c r="U34" s="1"/>
      <c r="V34" s="1"/>
      <c r="W34" s="1"/>
      <c r="Z34" s="2">
        <v>45296</v>
      </c>
      <c r="AA34" s="37">
        <v>0.08</v>
      </c>
      <c r="AB34" s="37">
        <v>4.28</v>
      </c>
      <c r="AC34" s="1"/>
      <c r="AD34" s="1"/>
      <c r="AE34" s="1"/>
    </row>
    <row r="35" spans="1:31" x14ac:dyDescent="0.2">
      <c r="A35" s="3"/>
      <c r="B35" s="2">
        <v>45294</v>
      </c>
      <c r="C35" s="1">
        <v>0.03</v>
      </c>
      <c r="D35" s="30">
        <v>5.95</v>
      </c>
      <c r="J35" s="2">
        <v>45296</v>
      </c>
      <c r="K35" s="3">
        <v>1.3</v>
      </c>
      <c r="L35" s="3">
        <v>7.73</v>
      </c>
      <c r="M35" s="1"/>
      <c r="N35" s="1"/>
      <c r="O35" s="1"/>
      <c r="R35" s="2">
        <v>45295</v>
      </c>
      <c r="S35" s="3">
        <v>7.42</v>
      </c>
      <c r="T35" s="37">
        <v>4.9400000000000004</v>
      </c>
      <c r="U35" s="1"/>
      <c r="V35" s="1"/>
      <c r="W35" s="1"/>
      <c r="Z35" s="2">
        <v>45296</v>
      </c>
      <c r="AA35" s="3">
        <v>0.02</v>
      </c>
      <c r="AB35" s="37">
        <v>3.75</v>
      </c>
      <c r="AC35" s="1"/>
      <c r="AD35" s="1"/>
      <c r="AE35" s="1"/>
    </row>
    <row r="36" spans="1:31" s="6" customFormat="1" x14ac:dyDescent="0.2">
      <c r="A36" s="4" t="s">
        <v>26</v>
      </c>
      <c r="B36" s="5">
        <v>45294</v>
      </c>
      <c r="C36" s="39">
        <v>2.41</v>
      </c>
      <c r="D36" s="39">
        <v>4.8499999999999996</v>
      </c>
      <c r="E36" s="4">
        <f>AVERAGE(C38:C39,C36)</f>
        <v>3.0533333333333332</v>
      </c>
      <c r="F36" s="4">
        <f>AVERAGE(D36,D38,D40)</f>
        <v>5.6499999999999995</v>
      </c>
      <c r="G36" s="4">
        <f>F36/E36</f>
        <v>1.8504366812227073</v>
      </c>
      <c r="I36" s="6" t="s">
        <v>31</v>
      </c>
      <c r="J36" s="5">
        <v>45296</v>
      </c>
      <c r="K36" s="38">
        <v>0.34</v>
      </c>
      <c r="L36" s="38">
        <v>9.81</v>
      </c>
      <c r="M36" s="4">
        <f>AVERAGE(K39:K40,K36)</f>
        <v>0.4933333333333334</v>
      </c>
      <c r="N36" s="4">
        <f>AVERAGE(L36,L37,L40)</f>
        <v>8.17</v>
      </c>
      <c r="O36" s="4">
        <f>N36/M36</f>
        <v>16.560810810810807</v>
      </c>
      <c r="Q36" s="6" t="s">
        <v>36</v>
      </c>
      <c r="R36" s="5">
        <v>45295</v>
      </c>
      <c r="S36" s="6">
        <v>2.54</v>
      </c>
      <c r="T36" s="6">
        <v>3.24</v>
      </c>
      <c r="U36" s="4">
        <f>AVERAGE(S38:S39,S37)</f>
        <v>1.2699999999999998</v>
      </c>
      <c r="V36" s="4">
        <f>AVERAGE(T38,T37,T40)</f>
        <v>6.5366666666666662</v>
      </c>
      <c r="W36" s="4">
        <f>V36/U36</f>
        <v>5.1469816272965883</v>
      </c>
      <c r="Y36" s="6" t="s">
        <v>40</v>
      </c>
      <c r="Z36" s="5">
        <v>45296</v>
      </c>
      <c r="AA36" s="38">
        <v>0.26</v>
      </c>
      <c r="AB36" s="6">
        <v>3.93</v>
      </c>
      <c r="AC36" s="4">
        <f>AVERAGE(AA39:AA40,AA36)</f>
        <v>0.39333333333333331</v>
      </c>
      <c r="AD36" s="4">
        <f>AVERAGE(AB38,AB39,AB40)</f>
        <v>6.19</v>
      </c>
      <c r="AE36" s="4">
        <f>AD36/AC36</f>
        <v>15.737288135593221</v>
      </c>
    </row>
    <row r="37" spans="1:31" s="6" customFormat="1" x14ac:dyDescent="0.2">
      <c r="B37" s="5">
        <v>45294</v>
      </c>
      <c r="C37" s="4">
        <v>0.38</v>
      </c>
      <c r="D37" s="4">
        <v>9.7899999999999991</v>
      </c>
      <c r="E37" s="4"/>
      <c r="F37" s="4"/>
      <c r="G37" s="4"/>
      <c r="J37" s="5">
        <v>45296</v>
      </c>
      <c r="K37" s="6">
        <v>0.24</v>
      </c>
      <c r="L37" s="38">
        <v>7.37</v>
      </c>
      <c r="M37" s="4"/>
      <c r="N37" s="4"/>
      <c r="O37" s="4"/>
      <c r="R37" s="5">
        <v>45295</v>
      </c>
      <c r="S37" s="38">
        <v>1.0900000000000001</v>
      </c>
      <c r="T37" s="38">
        <v>7.74</v>
      </c>
      <c r="U37" s="4"/>
      <c r="V37" s="4"/>
      <c r="W37" s="4"/>
      <c r="Z37" s="5">
        <v>45296</v>
      </c>
      <c r="AA37" s="6">
        <v>0.94</v>
      </c>
      <c r="AB37" s="6">
        <v>8.01</v>
      </c>
      <c r="AC37" s="4"/>
      <c r="AD37" s="4"/>
      <c r="AE37" s="4"/>
    </row>
    <row r="38" spans="1:31" s="6" customFormat="1" x14ac:dyDescent="0.2">
      <c r="B38" s="5">
        <v>45294</v>
      </c>
      <c r="C38" s="39">
        <v>3.35</v>
      </c>
      <c r="D38" s="39">
        <v>4.9000000000000004</v>
      </c>
      <c r="E38" s="4"/>
      <c r="F38" s="4"/>
      <c r="G38" s="4"/>
      <c r="J38" s="5">
        <v>45296</v>
      </c>
      <c r="K38" s="6">
        <v>1.28</v>
      </c>
      <c r="L38" s="6">
        <v>4.1100000000000003</v>
      </c>
      <c r="M38" s="4"/>
      <c r="N38" s="4"/>
      <c r="O38" s="4"/>
      <c r="R38" s="5">
        <v>45295</v>
      </c>
      <c r="S38" s="38">
        <v>0.84</v>
      </c>
      <c r="T38" s="38">
        <v>6.72</v>
      </c>
      <c r="U38" s="4"/>
      <c r="V38" s="4"/>
      <c r="W38" s="4"/>
      <c r="Z38" s="5">
        <v>45296</v>
      </c>
      <c r="AA38" s="6">
        <v>0.12</v>
      </c>
      <c r="AB38" s="38">
        <v>4.5999999999999996</v>
      </c>
      <c r="AC38" s="4"/>
      <c r="AD38" s="4"/>
      <c r="AE38" s="4"/>
    </row>
    <row r="39" spans="1:31" s="6" customFormat="1" x14ac:dyDescent="0.2">
      <c r="B39" s="5">
        <v>45294</v>
      </c>
      <c r="C39" s="39">
        <v>3.4</v>
      </c>
      <c r="D39" s="4">
        <v>4.3</v>
      </c>
      <c r="E39" s="4"/>
      <c r="F39" s="4"/>
      <c r="G39" s="4"/>
      <c r="J39" s="5">
        <v>45296</v>
      </c>
      <c r="K39" s="38">
        <v>0.35</v>
      </c>
      <c r="L39" s="6">
        <v>9.9700000000000006</v>
      </c>
      <c r="M39" s="4"/>
      <c r="N39" s="4"/>
      <c r="O39" s="4"/>
      <c r="R39" s="5">
        <v>45295</v>
      </c>
      <c r="S39" s="38">
        <v>1.88</v>
      </c>
      <c r="T39" s="6">
        <v>9.1</v>
      </c>
      <c r="U39" s="4"/>
      <c r="V39" s="4"/>
      <c r="W39" s="4"/>
      <c r="Z39" s="5">
        <v>45296</v>
      </c>
      <c r="AA39" s="38">
        <v>0.6</v>
      </c>
      <c r="AB39" s="38">
        <v>6.56</v>
      </c>
      <c r="AC39" s="4"/>
      <c r="AD39" s="4"/>
      <c r="AE39" s="4"/>
    </row>
    <row r="40" spans="1:31" s="6" customFormat="1" x14ac:dyDescent="0.2">
      <c r="A40" s="4"/>
      <c r="B40" s="5">
        <v>45294</v>
      </c>
      <c r="C40" s="4">
        <v>3.92</v>
      </c>
      <c r="D40" s="39">
        <v>7.2</v>
      </c>
      <c r="E40" s="4"/>
      <c r="F40" s="4"/>
      <c r="G40" s="4"/>
      <c r="J40" s="5">
        <v>45296</v>
      </c>
      <c r="K40" s="38">
        <v>0.79</v>
      </c>
      <c r="L40" s="38">
        <v>7.33</v>
      </c>
      <c r="M40" s="4"/>
      <c r="N40" s="4"/>
      <c r="O40" s="4"/>
      <c r="R40" s="5">
        <v>45295</v>
      </c>
      <c r="S40" s="6">
        <v>0.17</v>
      </c>
      <c r="T40" s="38">
        <v>5.15</v>
      </c>
      <c r="U40" s="4"/>
      <c r="V40" s="4"/>
      <c r="W40" s="4"/>
      <c r="Z40" s="5">
        <v>45296</v>
      </c>
      <c r="AA40" s="38">
        <v>0.32</v>
      </c>
      <c r="AB40" s="38">
        <v>7.41</v>
      </c>
      <c r="AC40" s="4"/>
      <c r="AD40" s="4"/>
      <c r="AE40" s="4"/>
    </row>
    <row r="41" spans="1:31" x14ac:dyDescent="0.2">
      <c r="A41" s="1" t="s">
        <v>27</v>
      </c>
      <c r="B41" s="2">
        <v>45294</v>
      </c>
      <c r="C41" s="1">
        <v>2.4900000000000002</v>
      </c>
      <c r="D41" s="1">
        <v>9.3699999999999992</v>
      </c>
      <c r="E41" s="1">
        <f>AVERAGE(C42:C44)</f>
        <v>1.1233333333333333</v>
      </c>
      <c r="F41" s="1">
        <f>AVERAGE(D44:D45,D42)</f>
        <v>6.0366666666666662</v>
      </c>
      <c r="G41" s="1">
        <f>F41/E41</f>
        <v>5.3738872403560825</v>
      </c>
      <c r="I41" s="3" t="s">
        <v>32</v>
      </c>
      <c r="J41" s="2">
        <v>45296</v>
      </c>
      <c r="K41" s="37">
        <v>0.92</v>
      </c>
      <c r="L41" s="3">
        <v>2.96</v>
      </c>
      <c r="M41" s="1">
        <f>AVERAGE(K41:K42,K44)</f>
        <v>0.60666666666666669</v>
      </c>
      <c r="N41" s="1">
        <f>AVERAGE(L43:L44,L45)</f>
        <v>5.4433333333333325</v>
      </c>
      <c r="O41" s="1">
        <f>N41/M41</f>
        <v>8.9725274725274708</v>
      </c>
      <c r="Q41" s="3" t="s">
        <v>37</v>
      </c>
      <c r="R41" s="2">
        <v>45295</v>
      </c>
      <c r="S41" s="3">
        <v>0.56999999999999995</v>
      </c>
      <c r="T41" s="37">
        <v>5.28</v>
      </c>
      <c r="U41" s="1">
        <f>AVERAGE(S44:S45,S42)</f>
        <v>0.26666666666666666</v>
      </c>
      <c r="V41" s="1">
        <f>AVERAGE(T44:T45,T41)</f>
        <v>5.03</v>
      </c>
      <c r="W41" s="1">
        <f>V41/U41</f>
        <v>18.862500000000001</v>
      </c>
      <c r="Y41" s="3" t="s">
        <v>41</v>
      </c>
      <c r="Z41" s="2">
        <v>45296</v>
      </c>
      <c r="AA41" s="3">
        <v>0.81</v>
      </c>
      <c r="AB41" s="37">
        <v>5.55</v>
      </c>
      <c r="AC41" s="1">
        <f>AVERAGE(AA42:AA43,AA45)</f>
        <v>0.35333333333333333</v>
      </c>
      <c r="AD41" s="1">
        <f>AVERAGE(AB41:AB42,AB45)</f>
        <v>6.7066666666666661</v>
      </c>
      <c r="AE41" s="1">
        <f>AD41/AC41</f>
        <v>18.981132075471695</v>
      </c>
    </row>
    <row r="42" spans="1:31" x14ac:dyDescent="0.2">
      <c r="A42" s="3"/>
      <c r="B42" s="2">
        <v>45294</v>
      </c>
      <c r="C42" s="30">
        <v>0.83</v>
      </c>
      <c r="D42" s="30">
        <v>7.58</v>
      </c>
      <c r="J42" s="2">
        <v>45296</v>
      </c>
      <c r="K42" s="37">
        <v>0.36</v>
      </c>
      <c r="L42" s="3">
        <v>8.14</v>
      </c>
      <c r="M42" s="1"/>
      <c r="N42" s="1"/>
      <c r="O42" s="1"/>
      <c r="R42" s="2">
        <v>45295</v>
      </c>
      <c r="S42" s="37">
        <v>0.5</v>
      </c>
      <c r="T42" s="3">
        <v>4.53</v>
      </c>
      <c r="U42" s="1"/>
      <c r="V42" s="1"/>
      <c r="W42" s="1"/>
      <c r="Z42" s="2">
        <v>45296</v>
      </c>
      <c r="AA42" s="37">
        <v>0.22</v>
      </c>
      <c r="AB42" s="37">
        <v>8.83</v>
      </c>
      <c r="AC42" s="1"/>
      <c r="AD42" s="1"/>
      <c r="AE42" s="1"/>
    </row>
    <row r="43" spans="1:31" x14ac:dyDescent="0.2">
      <c r="A43" s="3"/>
      <c r="B43" s="2">
        <v>45294</v>
      </c>
      <c r="C43" s="30">
        <v>0.61</v>
      </c>
      <c r="D43" s="1">
        <v>5.01</v>
      </c>
      <c r="J43" s="2">
        <v>45296</v>
      </c>
      <c r="K43" s="3">
        <v>0.26</v>
      </c>
      <c r="L43" s="37">
        <v>6.65</v>
      </c>
      <c r="M43" s="1"/>
      <c r="N43" s="1"/>
      <c r="O43" s="1"/>
      <c r="R43" s="2">
        <v>45295</v>
      </c>
      <c r="S43" s="3">
        <v>0.04</v>
      </c>
      <c r="T43" s="3">
        <v>6.46</v>
      </c>
      <c r="U43" s="1"/>
      <c r="V43" s="1"/>
      <c r="W43" s="1"/>
      <c r="Z43" s="2">
        <v>45296</v>
      </c>
      <c r="AA43" s="37">
        <v>0.47</v>
      </c>
      <c r="AB43" s="3">
        <v>3.07</v>
      </c>
      <c r="AC43" s="1"/>
      <c r="AD43" s="1"/>
      <c r="AE43" s="1"/>
    </row>
    <row r="44" spans="1:31" x14ac:dyDescent="0.2">
      <c r="B44" s="2">
        <v>45294</v>
      </c>
      <c r="C44" s="30">
        <v>1.93</v>
      </c>
      <c r="D44" s="30">
        <v>5.0999999999999996</v>
      </c>
      <c r="J44" s="2">
        <v>45296</v>
      </c>
      <c r="K44" s="37">
        <v>0.54</v>
      </c>
      <c r="L44" s="37">
        <v>6.17</v>
      </c>
      <c r="M44" s="1"/>
      <c r="N44" s="1"/>
      <c r="O44" s="1"/>
      <c r="R44" s="2">
        <v>45295</v>
      </c>
      <c r="S44" s="37">
        <v>0.22</v>
      </c>
      <c r="T44" s="37">
        <v>4.97</v>
      </c>
      <c r="U44" s="1"/>
      <c r="V44" s="1"/>
      <c r="W44" s="1"/>
      <c r="Z44" s="2">
        <v>45296</v>
      </c>
      <c r="AA44" s="3">
        <v>0.04</v>
      </c>
      <c r="AB44" s="3">
        <v>9.1199999999999992</v>
      </c>
      <c r="AC44" s="1"/>
      <c r="AD44" s="1"/>
      <c r="AE44" s="1"/>
    </row>
    <row r="45" spans="1:31" x14ac:dyDescent="0.2">
      <c r="B45" s="2">
        <v>45294</v>
      </c>
      <c r="C45" s="1">
        <v>0.17</v>
      </c>
      <c r="D45" s="30">
        <v>5.43</v>
      </c>
      <c r="J45" s="2">
        <v>45296</v>
      </c>
      <c r="K45" s="3">
        <v>1.1100000000000001</v>
      </c>
      <c r="L45" s="37">
        <v>3.51</v>
      </c>
      <c r="M45" s="1"/>
      <c r="N45" s="1"/>
      <c r="O45" s="1"/>
      <c r="R45" s="2">
        <v>45295</v>
      </c>
      <c r="S45" s="37">
        <v>0.08</v>
      </c>
      <c r="T45" s="37">
        <v>4.84</v>
      </c>
      <c r="U45" s="1"/>
      <c r="V45" s="1"/>
      <c r="W45" s="1"/>
      <c r="Z45" s="2">
        <v>45296</v>
      </c>
      <c r="AA45" s="37">
        <v>0.37</v>
      </c>
      <c r="AB45" s="37">
        <v>5.74</v>
      </c>
      <c r="AC45" s="1"/>
      <c r="AD45" s="1"/>
      <c r="AE45" s="1"/>
    </row>
    <row r="46" spans="1:31" s="6" customFormat="1" x14ac:dyDescent="0.2">
      <c r="A46" s="4" t="s">
        <v>28</v>
      </c>
      <c r="B46" s="5">
        <v>45294</v>
      </c>
      <c r="C46" s="39">
        <v>0.43</v>
      </c>
      <c r="D46" s="39">
        <v>6.69</v>
      </c>
      <c r="E46" s="4">
        <f>AVERAGE(C46,C47:C48)</f>
        <v>0.24333333333333332</v>
      </c>
      <c r="F46" s="4">
        <f>AVERAGE(D50,D46:D47)</f>
        <v>7.496666666666667</v>
      </c>
      <c r="G46" s="4">
        <f>F46/E46</f>
        <v>30.808219178082194</v>
      </c>
      <c r="I46" s="6" t="s">
        <v>33</v>
      </c>
      <c r="J46" s="5">
        <v>45296</v>
      </c>
      <c r="K46" s="6">
        <v>0.15</v>
      </c>
      <c r="L46" s="38">
        <v>3.98</v>
      </c>
      <c r="M46" s="4">
        <f>AVERAGE(K47,K49:K50)</f>
        <v>0.55666666666666675</v>
      </c>
      <c r="N46" s="4">
        <f>AVERAGE(L46,L47:L48)</f>
        <v>4.5199999999999996</v>
      </c>
      <c r="O46" s="4">
        <f>N46/M46</f>
        <v>8.1197604790419149</v>
      </c>
      <c r="Q46" s="6" t="s">
        <v>38</v>
      </c>
      <c r="R46" s="5">
        <v>45295</v>
      </c>
      <c r="S46" s="6">
        <v>5.69</v>
      </c>
      <c r="T46" s="38">
        <v>6.3</v>
      </c>
      <c r="U46" s="4">
        <f>AVERAGE(S47,S49:S50)</f>
        <v>1.34</v>
      </c>
      <c r="V46" s="4">
        <f>AVERAGE(T46,T48:T49)</f>
        <v>5.82</v>
      </c>
      <c r="W46" s="4">
        <f>V46/U46</f>
        <v>4.3432835820895521</v>
      </c>
      <c r="Y46" s="6" t="s">
        <v>42</v>
      </c>
      <c r="Z46" s="5">
        <v>45296</v>
      </c>
      <c r="AA46" s="38">
        <v>0.24</v>
      </c>
      <c r="AB46" s="38">
        <v>3.35</v>
      </c>
      <c r="AC46" s="4">
        <f>AVERAGE(AA46,AA48:AA49)</f>
        <v>0.17666666666666667</v>
      </c>
      <c r="AD46" s="4">
        <f>AVERAGE(AB50,AB46:AB47)</f>
        <v>4.42</v>
      </c>
      <c r="AE46" s="4">
        <f>AD46/AC46</f>
        <v>25.018867924528301</v>
      </c>
    </row>
    <row r="47" spans="1:31" s="6" customFormat="1" x14ac:dyDescent="0.2">
      <c r="B47" s="5">
        <v>45294</v>
      </c>
      <c r="C47" s="39">
        <v>0.15</v>
      </c>
      <c r="D47" s="39">
        <v>8.4700000000000006</v>
      </c>
      <c r="E47" s="4"/>
      <c r="F47" s="4"/>
      <c r="G47" s="4"/>
      <c r="J47" s="5">
        <v>45296</v>
      </c>
      <c r="K47" s="38">
        <v>0.67</v>
      </c>
      <c r="L47" s="38">
        <v>4.6399999999999997</v>
      </c>
      <c r="M47" s="4"/>
      <c r="N47" s="4"/>
      <c r="O47" s="4"/>
      <c r="R47" s="5">
        <v>45295</v>
      </c>
      <c r="S47" s="38">
        <v>1.7</v>
      </c>
      <c r="T47" s="6">
        <v>4.57</v>
      </c>
      <c r="Z47" s="5">
        <v>45296</v>
      </c>
      <c r="AA47" s="6">
        <v>0.05</v>
      </c>
      <c r="AB47" s="38">
        <v>4.34</v>
      </c>
    </row>
    <row r="48" spans="1:31" s="6" customFormat="1" x14ac:dyDescent="0.2">
      <c r="A48" s="4"/>
      <c r="B48" s="5">
        <v>45294</v>
      </c>
      <c r="C48" s="39">
        <v>0.15</v>
      </c>
      <c r="D48" s="4">
        <v>8.65</v>
      </c>
      <c r="E48" s="4"/>
      <c r="F48" s="4"/>
      <c r="G48" s="4"/>
      <c r="J48" s="5">
        <v>45296</v>
      </c>
      <c r="K48" s="6">
        <v>1.25</v>
      </c>
      <c r="L48" s="38">
        <v>4.9400000000000004</v>
      </c>
      <c r="M48" s="4"/>
      <c r="N48" s="4"/>
      <c r="O48" s="4"/>
      <c r="R48" s="5">
        <v>45295</v>
      </c>
      <c r="S48" s="6">
        <v>7.0000000000000007E-2</v>
      </c>
      <c r="T48" s="38">
        <v>6.31</v>
      </c>
      <c r="Z48" s="5">
        <v>45296</v>
      </c>
      <c r="AA48" s="38">
        <v>0.24</v>
      </c>
      <c r="AB48" s="6">
        <v>2.44</v>
      </c>
    </row>
    <row r="49" spans="1:28" s="6" customFormat="1" x14ac:dyDescent="0.2">
      <c r="A49" s="4"/>
      <c r="B49" s="5">
        <v>45294</v>
      </c>
      <c r="C49" s="4">
        <v>0.14000000000000001</v>
      </c>
      <c r="D49" s="4">
        <v>2.23</v>
      </c>
      <c r="E49" s="4"/>
      <c r="F49" s="4"/>
      <c r="G49" s="4"/>
      <c r="J49" s="5">
        <v>45296</v>
      </c>
      <c r="K49" s="38">
        <v>0.66</v>
      </c>
      <c r="L49" s="6">
        <v>3.86</v>
      </c>
      <c r="M49" s="4"/>
      <c r="N49" s="4"/>
      <c r="O49" s="4"/>
      <c r="R49" s="5">
        <v>45295</v>
      </c>
      <c r="S49" s="38">
        <v>0.71</v>
      </c>
      <c r="T49" s="38">
        <v>4.8499999999999996</v>
      </c>
      <c r="Z49" s="5">
        <v>45296</v>
      </c>
      <c r="AA49" s="38">
        <v>0.05</v>
      </c>
      <c r="AB49" s="6">
        <v>8.5299999999999994</v>
      </c>
    </row>
    <row r="50" spans="1:28" s="6" customFormat="1" x14ac:dyDescent="0.2">
      <c r="A50" s="4"/>
      <c r="B50" s="5">
        <v>45294</v>
      </c>
      <c r="C50" s="4">
        <v>0.47</v>
      </c>
      <c r="D50" s="39">
        <v>7.33</v>
      </c>
      <c r="E50" s="4"/>
      <c r="F50" s="4"/>
      <c r="G50" s="4"/>
      <c r="J50" s="5">
        <v>45296</v>
      </c>
      <c r="K50" s="38">
        <v>0.34</v>
      </c>
      <c r="L50" s="6">
        <v>5.93</v>
      </c>
      <c r="M50" s="4"/>
      <c r="N50" s="4"/>
      <c r="O50" s="4"/>
      <c r="R50" s="5">
        <v>45295</v>
      </c>
      <c r="S50" s="38">
        <v>1.61</v>
      </c>
      <c r="T50" s="6">
        <v>7.74</v>
      </c>
      <c r="Z50" s="5">
        <v>45296</v>
      </c>
      <c r="AA50" s="6">
        <v>0.91</v>
      </c>
      <c r="AB50" s="38">
        <v>5.57</v>
      </c>
    </row>
    <row r="51" spans="1:28" x14ac:dyDescent="0.2">
      <c r="A51" s="1" t="s">
        <v>29</v>
      </c>
      <c r="B51" s="2">
        <v>45294</v>
      </c>
      <c r="C51" s="30">
        <v>0.15</v>
      </c>
      <c r="D51" s="30">
        <v>5.77</v>
      </c>
      <c r="E51" s="1">
        <f>AVERAGE(C51:C52,C55)</f>
        <v>0.17</v>
      </c>
      <c r="F51" s="1">
        <f>AVERAGE(D51:D52,D54)</f>
        <v>6.080000000000001</v>
      </c>
      <c r="G51" s="1">
        <f>F51/E51</f>
        <v>35.764705882352942</v>
      </c>
      <c r="I51" s="3" t="s">
        <v>34</v>
      </c>
      <c r="J51" s="2">
        <v>45296</v>
      </c>
      <c r="K51" s="3">
        <v>0.41</v>
      </c>
      <c r="L51" s="3">
        <v>4.38</v>
      </c>
      <c r="M51" s="1">
        <f>AVERAGE(K52:K53,K55)</f>
        <v>1.1733333333333331</v>
      </c>
      <c r="N51" s="1">
        <f>AVERAGE(L53:L54,L55)</f>
        <v>5.5366666666666662</v>
      </c>
      <c r="O51" s="1">
        <f>N51/M51</f>
        <v>4.7187500000000009</v>
      </c>
    </row>
    <row r="52" spans="1:28" x14ac:dyDescent="0.2">
      <c r="B52" s="2">
        <v>45294</v>
      </c>
      <c r="C52" s="30">
        <v>0.12</v>
      </c>
      <c r="D52" s="30">
        <v>6.21</v>
      </c>
      <c r="J52" s="2">
        <v>45296</v>
      </c>
      <c r="K52" s="37">
        <v>0.82</v>
      </c>
      <c r="L52" s="3">
        <v>7.27</v>
      </c>
    </row>
    <row r="53" spans="1:28" x14ac:dyDescent="0.2">
      <c r="B53" s="2">
        <v>45294</v>
      </c>
      <c r="C53" s="1">
        <v>0.57999999999999996</v>
      </c>
      <c r="D53" s="1">
        <v>8.23</v>
      </c>
      <c r="J53" s="2">
        <v>45296</v>
      </c>
      <c r="K53" s="37">
        <v>1.69</v>
      </c>
      <c r="L53" s="37">
        <v>4.84</v>
      </c>
    </row>
    <row r="54" spans="1:28" x14ac:dyDescent="0.2">
      <c r="B54" s="2">
        <v>45294</v>
      </c>
      <c r="C54" s="1">
        <v>0.12</v>
      </c>
      <c r="D54" s="30">
        <v>6.26</v>
      </c>
      <c r="J54" s="2">
        <v>45296</v>
      </c>
      <c r="K54" s="3">
        <v>2.52</v>
      </c>
      <c r="L54" s="37">
        <v>6</v>
      </c>
    </row>
    <row r="55" spans="1:28" x14ac:dyDescent="0.2">
      <c r="B55" s="2">
        <v>45294</v>
      </c>
      <c r="C55" s="30">
        <v>0.24</v>
      </c>
      <c r="D55" s="1">
        <v>5.63</v>
      </c>
      <c r="J55" s="2">
        <v>45296</v>
      </c>
      <c r="K55" s="37">
        <v>1.01</v>
      </c>
      <c r="L55" s="37">
        <v>5.77</v>
      </c>
    </row>
    <row r="56" spans="1:28" x14ac:dyDescent="0.2">
      <c r="B56" s="2"/>
    </row>
    <row r="57" spans="1:28" x14ac:dyDescent="0.2">
      <c r="B57" s="2"/>
      <c r="M57" s="1"/>
    </row>
    <row r="58" spans="1:28" x14ac:dyDescent="0.2">
      <c r="B58" s="2"/>
      <c r="M58" s="1"/>
    </row>
    <row r="59" spans="1:28" x14ac:dyDescent="0.2">
      <c r="B59" s="2"/>
      <c r="M59" s="1"/>
    </row>
    <row r="60" spans="1:28" x14ac:dyDescent="0.2">
      <c r="B60" s="2"/>
      <c r="M60" s="1"/>
    </row>
    <row r="61" spans="1:28" x14ac:dyDescent="0.2">
      <c r="B61" s="2"/>
      <c r="M61" s="1"/>
    </row>
    <row r="62" spans="1:28" x14ac:dyDescent="0.2">
      <c r="B62" s="2"/>
      <c r="M62" s="1"/>
    </row>
    <row r="63" spans="1:28" x14ac:dyDescent="0.2">
      <c r="B63" s="2"/>
      <c r="M63" s="1"/>
    </row>
    <row r="64" spans="1:28" x14ac:dyDescent="0.2">
      <c r="B64" s="2"/>
      <c r="M64" s="1"/>
    </row>
    <row r="65" spans="2:13" x14ac:dyDescent="0.2">
      <c r="B65" s="2"/>
      <c r="M65" s="1"/>
    </row>
    <row r="66" spans="2:13" x14ac:dyDescent="0.2">
      <c r="B66" s="2"/>
      <c r="M66" s="1"/>
    </row>
    <row r="67" spans="2:13" x14ac:dyDescent="0.2">
      <c r="B67" s="2"/>
      <c r="M67" s="1"/>
    </row>
    <row r="68" spans="2:13" x14ac:dyDescent="0.2">
      <c r="B68" s="2"/>
      <c r="M68" s="1"/>
    </row>
    <row r="69" spans="2:13" x14ac:dyDescent="0.2">
      <c r="B69" s="2"/>
      <c r="M69" s="1"/>
    </row>
    <row r="70" spans="2:13" x14ac:dyDescent="0.2">
      <c r="B70" s="2"/>
      <c r="M70" s="1"/>
    </row>
    <row r="71" spans="2:13" x14ac:dyDescent="0.2">
      <c r="B71" s="2"/>
      <c r="M71" s="1"/>
    </row>
    <row r="72" spans="2:13" x14ac:dyDescent="0.2">
      <c r="B72" s="2"/>
      <c r="M72" s="1"/>
    </row>
    <row r="73" spans="2:13" x14ac:dyDescent="0.2">
      <c r="B73" s="2"/>
      <c r="M73" s="1"/>
    </row>
    <row r="74" spans="2:13" x14ac:dyDescent="0.2">
      <c r="B74" s="2"/>
      <c r="M74" s="1"/>
    </row>
    <row r="75" spans="2:13" x14ac:dyDescent="0.2">
      <c r="B75" s="2"/>
      <c r="M75" s="1"/>
    </row>
    <row r="76" spans="2:13" x14ac:dyDescent="0.2">
      <c r="B76" s="2"/>
      <c r="M76" s="1"/>
    </row>
    <row r="77" spans="2:13" x14ac:dyDescent="0.2">
      <c r="B77" s="2"/>
      <c r="M77" s="1"/>
    </row>
    <row r="78" spans="2:13" x14ac:dyDescent="0.2">
      <c r="B78" s="2"/>
      <c r="M78" s="1"/>
    </row>
    <row r="79" spans="2:13" x14ac:dyDescent="0.2">
      <c r="B79" s="2"/>
      <c r="M79" s="1"/>
    </row>
    <row r="80" spans="2:13" x14ac:dyDescent="0.2"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C284-B158-FC48-B3B9-7E955C50010F}">
  <dimension ref="A1:AU92"/>
  <sheetViews>
    <sheetView workbookViewId="0">
      <selection sqref="A1:G1"/>
    </sheetView>
  </sheetViews>
  <sheetFormatPr defaultColWidth="10.875" defaultRowHeight="15" x14ac:dyDescent="0.2"/>
  <cols>
    <col min="1" max="1" width="16.5" style="1" bestFit="1" customWidth="1"/>
    <col min="2" max="2" width="16.5" style="1" customWidth="1"/>
    <col min="3" max="7" width="10.875" style="1"/>
    <col min="8" max="16384" width="10.875" style="3"/>
  </cols>
  <sheetData>
    <row r="1" spans="1:47" x14ac:dyDescent="0.2">
      <c r="A1" s="54" t="s">
        <v>162</v>
      </c>
      <c r="B1" s="54"/>
      <c r="C1" s="54"/>
      <c r="D1" s="54"/>
      <c r="E1" s="54"/>
      <c r="F1" s="54"/>
      <c r="G1" s="54"/>
      <c r="I1" s="54" t="s">
        <v>163</v>
      </c>
      <c r="J1" s="54"/>
      <c r="K1" s="54"/>
      <c r="L1" s="54"/>
      <c r="M1" s="54"/>
      <c r="N1" s="54"/>
      <c r="O1" s="54"/>
      <c r="Q1" s="54" t="s">
        <v>164</v>
      </c>
      <c r="R1" s="54"/>
      <c r="S1" s="54"/>
      <c r="T1" s="54"/>
      <c r="U1" s="54"/>
      <c r="V1" s="54"/>
      <c r="W1" s="54"/>
      <c r="Y1" s="54" t="s">
        <v>165</v>
      </c>
      <c r="Z1" s="54"/>
      <c r="AA1" s="54"/>
      <c r="AB1" s="54"/>
      <c r="AC1" s="54"/>
      <c r="AD1" s="54"/>
      <c r="AE1" s="54"/>
      <c r="AG1" s="54" t="s">
        <v>166</v>
      </c>
      <c r="AH1" s="54"/>
      <c r="AI1" s="54"/>
      <c r="AJ1" s="54"/>
      <c r="AK1" s="54"/>
      <c r="AL1" s="54"/>
      <c r="AM1" s="54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">
      <c r="A3" s="1" t="s">
        <v>12</v>
      </c>
      <c r="B3" s="2">
        <v>45334</v>
      </c>
      <c r="C3" s="1">
        <v>0.21</v>
      </c>
      <c r="D3" s="1">
        <v>1.84</v>
      </c>
      <c r="I3" s="1" t="s">
        <v>21</v>
      </c>
      <c r="J3" s="2">
        <v>45334</v>
      </c>
      <c r="K3" s="1">
        <v>4.2699999999999996</v>
      </c>
      <c r="L3" s="1">
        <v>6.56</v>
      </c>
      <c r="M3" s="1"/>
      <c r="N3" s="1"/>
      <c r="O3" s="1"/>
      <c r="Q3" s="3" t="s">
        <v>17</v>
      </c>
      <c r="R3" s="2">
        <v>45337</v>
      </c>
      <c r="S3" s="3">
        <v>0.2</v>
      </c>
      <c r="T3" s="3">
        <v>8.32</v>
      </c>
      <c r="U3" s="1"/>
      <c r="V3" s="1"/>
      <c r="W3" s="1"/>
      <c r="Y3" s="3" t="s">
        <v>25</v>
      </c>
      <c r="Z3" s="2">
        <v>45336</v>
      </c>
      <c r="AA3" s="3">
        <v>0.46</v>
      </c>
      <c r="AB3" s="3">
        <v>6.3</v>
      </c>
      <c r="AC3" s="1"/>
      <c r="AD3" s="1"/>
      <c r="AE3" s="1"/>
      <c r="AG3" s="3" t="s">
        <v>35</v>
      </c>
      <c r="AH3" s="53">
        <v>45338</v>
      </c>
      <c r="AI3" s="3">
        <v>0.67</v>
      </c>
      <c r="AJ3" s="3">
        <v>4.25</v>
      </c>
      <c r="AO3" s="3" t="s">
        <v>39</v>
      </c>
      <c r="AP3" s="53">
        <v>45338</v>
      </c>
      <c r="AQ3" s="3">
        <v>2.61</v>
      </c>
      <c r="AR3" s="3">
        <v>6</v>
      </c>
    </row>
    <row r="4" spans="1:47" x14ac:dyDescent="0.2">
      <c r="B4" s="2"/>
      <c r="C4" s="1">
        <v>0.28999999999999998</v>
      </c>
      <c r="D4" s="1">
        <v>4.8</v>
      </c>
      <c r="J4" s="2"/>
      <c r="K4" s="1">
        <v>3.07</v>
      </c>
      <c r="L4" s="1">
        <v>7.42</v>
      </c>
      <c r="M4" s="1"/>
      <c r="N4" s="1"/>
      <c r="O4" s="1"/>
      <c r="R4" s="2"/>
      <c r="S4" s="3">
        <v>1.27</v>
      </c>
      <c r="T4" s="3">
        <v>4.5999999999999996</v>
      </c>
      <c r="U4" s="1"/>
      <c r="V4" s="1"/>
      <c r="W4" s="1"/>
      <c r="Z4" s="2"/>
      <c r="AA4" s="3">
        <v>0.16</v>
      </c>
      <c r="AB4" s="3">
        <v>4.4400000000000004</v>
      </c>
      <c r="AC4" s="1"/>
      <c r="AD4" s="1"/>
      <c r="AE4" s="1"/>
      <c r="AI4" s="3">
        <v>1.67</v>
      </c>
      <c r="AJ4" s="3">
        <v>4.99</v>
      </c>
      <c r="AQ4" s="3">
        <v>1.2</v>
      </c>
      <c r="AR4" s="3">
        <v>9.81</v>
      </c>
    </row>
    <row r="5" spans="1:47" x14ac:dyDescent="0.2">
      <c r="B5" s="2"/>
      <c r="C5" s="1">
        <v>1.1100000000000001</v>
      </c>
      <c r="D5" s="1">
        <v>5.77</v>
      </c>
      <c r="J5" s="2"/>
      <c r="K5" s="1">
        <v>3.88</v>
      </c>
      <c r="L5" s="1">
        <v>6.1</v>
      </c>
      <c r="M5" s="1"/>
      <c r="N5" s="1"/>
      <c r="O5" s="1"/>
      <c r="R5" s="2"/>
      <c r="S5" s="3">
        <v>1.24</v>
      </c>
      <c r="T5" s="3">
        <v>9.2899999999999991</v>
      </c>
      <c r="U5" s="1"/>
      <c r="V5" s="1"/>
      <c r="W5" s="1"/>
      <c r="Z5" s="2"/>
      <c r="AA5" s="3">
        <v>1.43</v>
      </c>
      <c r="AB5" s="3">
        <v>8.56</v>
      </c>
      <c r="AC5" s="1"/>
      <c r="AD5" s="1"/>
      <c r="AE5" s="1"/>
      <c r="AI5" s="3">
        <v>0.46</v>
      </c>
      <c r="AJ5" s="3">
        <v>5.08</v>
      </c>
      <c r="AQ5" s="3">
        <v>4.66</v>
      </c>
      <c r="AR5" s="3">
        <v>3.56</v>
      </c>
    </row>
    <row r="6" spans="1:47" x14ac:dyDescent="0.2">
      <c r="B6" s="2"/>
      <c r="C6" s="1">
        <v>0.13</v>
      </c>
      <c r="D6" s="1">
        <v>8.08</v>
      </c>
      <c r="J6" s="2"/>
      <c r="K6" s="1">
        <v>4.3099999999999996</v>
      </c>
      <c r="L6" s="1">
        <v>9.7899999999999991</v>
      </c>
      <c r="M6" s="1"/>
      <c r="N6" s="1"/>
      <c r="O6" s="1"/>
      <c r="R6" s="2"/>
      <c r="S6" s="3">
        <v>0.09</v>
      </c>
      <c r="T6" s="3">
        <v>6.36</v>
      </c>
      <c r="U6" s="1"/>
      <c r="V6" s="1"/>
      <c r="W6" s="1"/>
      <c r="Z6" s="2"/>
      <c r="AA6" s="3">
        <v>0.15</v>
      </c>
      <c r="AB6" s="3">
        <v>5.56</v>
      </c>
      <c r="AC6" s="1"/>
      <c r="AD6" s="1"/>
      <c r="AE6" s="1"/>
      <c r="AI6" s="3">
        <v>1.33</v>
      </c>
      <c r="AJ6" s="3">
        <v>3.16</v>
      </c>
      <c r="AQ6" s="3">
        <v>2.75</v>
      </c>
      <c r="AR6" s="3">
        <v>5</v>
      </c>
    </row>
    <row r="7" spans="1:47" x14ac:dyDescent="0.2">
      <c r="B7" s="2"/>
      <c r="C7" s="1">
        <v>0.1</v>
      </c>
      <c r="D7" s="1">
        <v>6.48</v>
      </c>
      <c r="I7" s="1"/>
      <c r="J7" s="2"/>
      <c r="K7" s="1">
        <v>1.03</v>
      </c>
      <c r="L7" s="1">
        <v>4.21</v>
      </c>
      <c r="M7" s="1"/>
      <c r="N7" s="1"/>
      <c r="O7" s="1"/>
      <c r="R7" s="2"/>
      <c r="S7" s="3">
        <v>0.2</v>
      </c>
      <c r="T7" s="3">
        <v>5.07</v>
      </c>
      <c r="U7" s="1"/>
      <c r="V7" s="1"/>
      <c r="W7" s="1"/>
      <c r="Z7" s="2"/>
      <c r="AA7" s="3">
        <v>2.72</v>
      </c>
      <c r="AB7" s="3">
        <v>4.43</v>
      </c>
      <c r="AC7" s="1"/>
      <c r="AD7" s="1"/>
      <c r="AE7" s="1"/>
      <c r="AI7" s="3">
        <v>0.11</v>
      </c>
      <c r="AJ7" s="3">
        <v>6.68</v>
      </c>
      <c r="AQ7" s="3">
        <v>3.8</v>
      </c>
      <c r="AR7" s="3">
        <v>6.85</v>
      </c>
    </row>
    <row r="8" spans="1:47" s="6" customFormat="1" x14ac:dyDescent="0.2">
      <c r="A8" s="4" t="s">
        <v>13</v>
      </c>
      <c r="B8" s="5"/>
      <c r="C8" s="4">
        <v>1.1100000000000001</v>
      </c>
      <c r="D8" s="4">
        <v>6.48</v>
      </c>
      <c r="E8" s="4"/>
      <c r="F8" s="4"/>
      <c r="G8" s="4"/>
      <c r="I8" s="4" t="s">
        <v>22</v>
      </c>
      <c r="J8" s="5"/>
      <c r="K8" s="4">
        <v>3.63</v>
      </c>
      <c r="L8" s="4">
        <v>5.1100000000000003</v>
      </c>
      <c r="M8" s="4"/>
      <c r="N8" s="4"/>
      <c r="O8" s="4"/>
      <c r="Q8" s="6" t="s">
        <v>18</v>
      </c>
      <c r="R8" s="5"/>
      <c r="S8" s="6">
        <v>0.24</v>
      </c>
      <c r="T8" s="6">
        <v>5.24</v>
      </c>
      <c r="U8" s="4"/>
      <c r="V8" s="4"/>
      <c r="W8" s="4"/>
      <c r="Y8" s="6" t="s">
        <v>26</v>
      </c>
      <c r="Z8" s="5"/>
      <c r="AA8" s="6">
        <v>3.7</v>
      </c>
      <c r="AB8" s="6">
        <v>11.58</v>
      </c>
      <c r="AC8" s="4"/>
      <c r="AD8" s="4"/>
      <c r="AE8" s="4"/>
      <c r="AG8" s="6" t="s">
        <v>36</v>
      </c>
      <c r="AI8" s="6">
        <v>0.98</v>
      </c>
      <c r="AJ8" s="6">
        <v>4.12</v>
      </c>
      <c r="AO8" s="6" t="s">
        <v>40</v>
      </c>
      <c r="AQ8" s="6">
        <v>2.4700000000000002</v>
      </c>
      <c r="AR8" s="6">
        <v>8.4700000000000006</v>
      </c>
    </row>
    <row r="9" spans="1:47" s="6" customFormat="1" x14ac:dyDescent="0.2">
      <c r="A9" s="4"/>
      <c r="B9" s="5"/>
      <c r="C9" s="4">
        <v>0.17</v>
      </c>
      <c r="D9" s="4">
        <v>1.21</v>
      </c>
      <c r="E9" s="4"/>
      <c r="F9" s="4"/>
      <c r="G9" s="4"/>
      <c r="I9" s="4"/>
      <c r="J9" s="5"/>
      <c r="K9" s="4">
        <v>3.26</v>
      </c>
      <c r="L9" s="4">
        <v>4.76</v>
      </c>
      <c r="M9" s="4"/>
      <c r="N9" s="4"/>
      <c r="O9" s="4"/>
      <c r="R9" s="5"/>
      <c r="S9" s="6">
        <v>0.28999999999999998</v>
      </c>
      <c r="T9" s="6">
        <v>10.17</v>
      </c>
      <c r="U9" s="4"/>
      <c r="V9" s="4"/>
      <c r="W9" s="4"/>
      <c r="Z9" s="5"/>
      <c r="AA9" s="6">
        <v>3.88</v>
      </c>
      <c r="AB9" s="6">
        <v>7.4</v>
      </c>
      <c r="AC9" s="4"/>
      <c r="AD9" s="4"/>
      <c r="AE9" s="4"/>
      <c r="AI9" s="6">
        <v>0.17</v>
      </c>
      <c r="AJ9" s="6">
        <v>4.4000000000000004</v>
      </c>
      <c r="AQ9" s="6">
        <v>3.73</v>
      </c>
      <c r="AR9" s="6">
        <v>4.2699999999999996</v>
      </c>
    </row>
    <row r="10" spans="1:47" s="6" customFormat="1" x14ac:dyDescent="0.2">
      <c r="A10" s="4"/>
      <c r="B10" s="5"/>
      <c r="C10" s="4">
        <v>0.15</v>
      </c>
      <c r="D10" s="4">
        <v>6.98</v>
      </c>
      <c r="E10" s="4"/>
      <c r="F10" s="4"/>
      <c r="G10" s="4"/>
      <c r="I10" s="4"/>
      <c r="J10" s="5"/>
      <c r="K10" s="4">
        <v>3.53</v>
      </c>
      <c r="L10" s="4">
        <v>5.58</v>
      </c>
      <c r="M10" s="4"/>
      <c r="N10" s="4"/>
      <c r="O10" s="4"/>
      <c r="R10" s="5"/>
      <c r="S10" s="6">
        <v>0.48</v>
      </c>
      <c r="T10" s="6">
        <v>8</v>
      </c>
      <c r="U10" s="4"/>
      <c r="V10" s="4"/>
      <c r="W10" s="4"/>
      <c r="Z10" s="5"/>
      <c r="AA10" s="6">
        <v>3.4</v>
      </c>
      <c r="AB10" s="6">
        <v>6.03</v>
      </c>
      <c r="AC10" s="4"/>
      <c r="AD10" s="4"/>
      <c r="AE10" s="4"/>
      <c r="AI10" s="6">
        <v>2.38</v>
      </c>
      <c r="AJ10" s="6">
        <v>9.7899999999999991</v>
      </c>
      <c r="AQ10" s="6">
        <v>3.26</v>
      </c>
      <c r="AR10" s="6">
        <v>5.16</v>
      </c>
    </row>
    <row r="11" spans="1:47" s="6" customFormat="1" x14ac:dyDescent="0.2">
      <c r="A11" s="4"/>
      <c r="B11" s="5"/>
      <c r="C11" s="4">
        <v>0.11</v>
      </c>
      <c r="D11" s="4">
        <v>1.7</v>
      </c>
      <c r="E11" s="4"/>
      <c r="F11" s="4"/>
      <c r="G11" s="4"/>
      <c r="I11" s="4"/>
      <c r="J11" s="5"/>
      <c r="K11" s="4">
        <v>6.17</v>
      </c>
      <c r="L11" s="4">
        <v>4.75</v>
      </c>
      <c r="M11" s="4"/>
      <c r="N11" s="4"/>
      <c r="O11" s="4"/>
      <c r="R11" s="5"/>
      <c r="S11" s="6">
        <v>1.19</v>
      </c>
      <c r="T11" s="6">
        <v>12.3</v>
      </c>
      <c r="U11" s="4"/>
      <c r="V11" s="4"/>
      <c r="W11" s="4"/>
      <c r="Z11" s="5"/>
      <c r="AA11" s="6">
        <v>1.75</v>
      </c>
      <c r="AB11" s="6">
        <v>7.21</v>
      </c>
      <c r="AC11" s="4"/>
      <c r="AD11" s="4"/>
      <c r="AE11" s="4"/>
      <c r="AI11" s="6">
        <v>0.1</v>
      </c>
      <c r="AJ11" s="6">
        <v>7.18</v>
      </c>
      <c r="AQ11" s="6">
        <v>1.77</v>
      </c>
      <c r="AR11" s="6">
        <v>8.2100000000000009</v>
      </c>
    </row>
    <row r="12" spans="1:47" s="6" customFormat="1" x14ac:dyDescent="0.2">
      <c r="A12" s="4"/>
      <c r="B12" s="5"/>
      <c r="C12" s="4">
        <v>0.11</v>
      </c>
      <c r="D12" s="4">
        <v>5.75</v>
      </c>
      <c r="E12" s="4"/>
      <c r="F12" s="4"/>
      <c r="G12" s="4"/>
      <c r="I12" s="4"/>
      <c r="J12" s="5"/>
      <c r="K12" s="4">
        <v>4.41</v>
      </c>
      <c r="L12" s="4">
        <v>6.82</v>
      </c>
      <c r="M12" s="4"/>
      <c r="N12" s="4"/>
      <c r="O12" s="4"/>
      <c r="R12" s="5"/>
      <c r="S12" s="6">
        <v>0.24</v>
      </c>
      <c r="T12" s="6">
        <v>13.66</v>
      </c>
      <c r="U12" s="4"/>
      <c r="V12" s="4"/>
      <c r="W12" s="4"/>
      <c r="Z12" s="5"/>
      <c r="AA12" s="6">
        <v>3.27</v>
      </c>
      <c r="AB12" s="6">
        <v>4.53</v>
      </c>
      <c r="AC12" s="4"/>
      <c r="AD12" s="4"/>
      <c r="AE12" s="4"/>
      <c r="AI12" s="6">
        <v>0.14000000000000001</v>
      </c>
      <c r="AJ12" s="6">
        <v>9</v>
      </c>
      <c r="AQ12" s="6">
        <v>4.07</v>
      </c>
      <c r="AR12" s="6">
        <v>2.37</v>
      </c>
    </row>
    <row r="13" spans="1:47" x14ac:dyDescent="0.2">
      <c r="A13" s="1" t="s">
        <v>14</v>
      </c>
      <c r="B13" s="2"/>
      <c r="C13" s="1">
        <v>2.56</v>
      </c>
      <c r="D13" s="1">
        <v>3.94</v>
      </c>
      <c r="I13" s="1" t="s">
        <v>23</v>
      </c>
      <c r="J13" s="2"/>
      <c r="K13" s="1">
        <v>3.06</v>
      </c>
      <c r="L13" s="1">
        <v>4.03</v>
      </c>
      <c r="M13" s="1"/>
      <c r="N13" s="1"/>
      <c r="O13" s="1"/>
      <c r="Q13" s="3" t="s">
        <v>19</v>
      </c>
      <c r="R13" s="2"/>
      <c r="S13" s="3">
        <v>0.14000000000000001</v>
      </c>
      <c r="T13" s="3">
        <v>3.42</v>
      </c>
      <c r="U13" s="1"/>
      <c r="V13" s="1"/>
      <c r="W13" s="1"/>
      <c r="Y13" s="3" t="s">
        <v>27</v>
      </c>
      <c r="Z13" s="2"/>
      <c r="AA13" s="3">
        <v>4.5199999999999996</v>
      </c>
      <c r="AB13" s="3">
        <v>6.15</v>
      </c>
      <c r="AC13" s="1"/>
      <c r="AD13" s="1"/>
      <c r="AE13" s="1"/>
      <c r="AG13" s="3" t="s">
        <v>37</v>
      </c>
      <c r="AI13" s="3">
        <v>0.37</v>
      </c>
      <c r="AJ13" s="3">
        <v>3.35</v>
      </c>
      <c r="AO13" s="3" t="s">
        <v>41</v>
      </c>
      <c r="AQ13" s="3">
        <v>4.74</v>
      </c>
      <c r="AR13" s="3">
        <v>3.7</v>
      </c>
    </row>
    <row r="14" spans="1:47" x14ac:dyDescent="0.2">
      <c r="B14" s="2"/>
      <c r="C14" s="1">
        <v>1.38</v>
      </c>
      <c r="D14" s="1">
        <v>4.4800000000000004</v>
      </c>
      <c r="I14" s="1"/>
      <c r="J14" s="2"/>
      <c r="K14" s="1">
        <v>5.56</v>
      </c>
      <c r="L14" s="1">
        <v>3.5</v>
      </c>
      <c r="M14" s="1"/>
      <c r="N14" s="1"/>
      <c r="O14" s="1"/>
      <c r="R14" s="2"/>
      <c r="S14" s="3">
        <v>1.17</v>
      </c>
      <c r="T14" s="3">
        <v>6.13</v>
      </c>
      <c r="U14" s="1"/>
      <c r="V14" s="1"/>
      <c r="W14" s="1"/>
      <c r="Z14" s="2"/>
      <c r="AA14" s="3">
        <v>5.08</v>
      </c>
      <c r="AB14" s="3">
        <v>4.96</v>
      </c>
      <c r="AC14" s="1"/>
      <c r="AD14" s="1"/>
      <c r="AE14" s="1"/>
      <c r="AI14" s="3">
        <v>0.02</v>
      </c>
      <c r="AJ14" s="3">
        <v>3.56</v>
      </c>
      <c r="AQ14" s="3">
        <v>0.11</v>
      </c>
      <c r="AR14" s="3">
        <v>9.58</v>
      </c>
    </row>
    <row r="15" spans="1:47" x14ac:dyDescent="0.2">
      <c r="B15" s="2"/>
      <c r="C15" s="1">
        <v>7.0000000000000007E-2</v>
      </c>
      <c r="D15" s="1">
        <v>5.73</v>
      </c>
      <c r="I15" s="1"/>
      <c r="J15" s="2"/>
      <c r="K15" s="1">
        <v>5.79</v>
      </c>
      <c r="L15" s="1">
        <v>3.28</v>
      </c>
      <c r="M15" s="1"/>
      <c r="N15" s="1"/>
      <c r="O15" s="1"/>
      <c r="R15" s="2"/>
      <c r="S15" s="3">
        <v>1.38</v>
      </c>
      <c r="T15" s="3">
        <v>6.99</v>
      </c>
      <c r="U15" s="1"/>
      <c r="V15" s="1"/>
      <c r="W15" s="1"/>
      <c r="Z15" s="2"/>
      <c r="AA15" s="3">
        <v>4.84</v>
      </c>
      <c r="AB15" s="3">
        <v>8.3699999999999992</v>
      </c>
      <c r="AC15" s="1"/>
      <c r="AD15" s="1"/>
      <c r="AE15" s="1"/>
      <c r="AI15" s="3">
        <v>0.27</v>
      </c>
      <c r="AJ15" s="3">
        <v>7.02</v>
      </c>
      <c r="AQ15" s="3">
        <v>1.19</v>
      </c>
      <c r="AR15" s="3">
        <v>4.49</v>
      </c>
    </row>
    <row r="16" spans="1:47" x14ac:dyDescent="0.2">
      <c r="B16" s="2"/>
      <c r="C16" s="1">
        <v>0.78</v>
      </c>
      <c r="D16" s="1">
        <v>10.82</v>
      </c>
      <c r="I16" s="1"/>
      <c r="J16" s="2"/>
      <c r="K16" s="1">
        <v>3.93</v>
      </c>
      <c r="L16" s="1">
        <v>2.67</v>
      </c>
      <c r="M16" s="1"/>
      <c r="N16" s="1"/>
      <c r="O16" s="1"/>
      <c r="R16" s="2"/>
      <c r="S16" s="3">
        <v>1.3</v>
      </c>
      <c r="T16" s="3">
        <v>6.83</v>
      </c>
      <c r="U16" s="1"/>
      <c r="V16" s="1"/>
      <c r="W16" s="1"/>
      <c r="Z16" s="2"/>
      <c r="AA16" s="3">
        <v>4.21</v>
      </c>
      <c r="AB16" s="3">
        <v>3.59</v>
      </c>
      <c r="AC16" s="1"/>
      <c r="AD16" s="1"/>
      <c r="AE16" s="1"/>
      <c r="AI16" s="3">
        <v>1.81</v>
      </c>
      <c r="AJ16" s="3">
        <v>2.5099999999999998</v>
      </c>
      <c r="AQ16" s="3">
        <v>4.1399999999999997</v>
      </c>
      <c r="AR16" s="3">
        <v>4.9400000000000004</v>
      </c>
    </row>
    <row r="17" spans="1:44" x14ac:dyDescent="0.2">
      <c r="B17" s="2"/>
      <c r="C17" s="1">
        <v>0.99</v>
      </c>
      <c r="D17" s="1">
        <v>5.8</v>
      </c>
      <c r="I17" s="1"/>
      <c r="J17" s="2"/>
      <c r="K17" s="1">
        <v>8.1199999999999992</v>
      </c>
      <c r="L17" s="1">
        <v>7.36</v>
      </c>
      <c r="M17" s="1"/>
      <c r="N17" s="1"/>
      <c r="O17" s="1"/>
      <c r="R17" s="2"/>
      <c r="S17" s="3">
        <v>0.61</v>
      </c>
      <c r="T17" s="3">
        <v>7.66</v>
      </c>
      <c r="U17" s="1"/>
      <c r="V17" s="1"/>
      <c r="W17" s="1"/>
      <c r="Z17" s="2"/>
      <c r="AA17" s="3">
        <v>1.72</v>
      </c>
      <c r="AB17" s="3">
        <v>7.2</v>
      </c>
      <c r="AC17" s="1"/>
      <c r="AD17" s="1"/>
      <c r="AE17" s="1"/>
      <c r="AI17" s="3">
        <v>0.15</v>
      </c>
      <c r="AJ17" s="3">
        <v>0.43</v>
      </c>
      <c r="AQ17" s="3">
        <v>3.56</v>
      </c>
      <c r="AR17" s="3">
        <v>3.56</v>
      </c>
    </row>
    <row r="18" spans="1:44" s="6" customFormat="1" x14ac:dyDescent="0.2">
      <c r="A18" s="4" t="s">
        <v>7</v>
      </c>
      <c r="B18" s="5"/>
      <c r="C18" s="4">
        <v>0.4</v>
      </c>
      <c r="D18" s="4">
        <v>2.5099999999999998</v>
      </c>
      <c r="E18" s="4"/>
      <c r="F18" s="4"/>
      <c r="G18" s="4"/>
      <c r="I18" s="4" t="s">
        <v>24</v>
      </c>
      <c r="J18" s="5"/>
      <c r="K18" s="4">
        <v>3.01</v>
      </c>
      <c r="L18" s="4">
        <v>8.43</v>
      </c>
      <c r="M18" s="4"/>
      <c r="N18" s="4"/>
      <c r="O18" s="4"/>
      <c r="Q18" s="6" t="s">
        <v>20</v>
      </c>
      <c r="R18" s="5"/>
      <c r="S18" s="6">
        <v>0.17</v>
      </c>
      <c r="T18" s="6">
        <v>9.93</v>
      </c>
      <c r="U18" s="4"/>
      <c r="V18" s="4"/>
      <c r="W18" s="4"/>
      <c r="Y18" s="6" t="s">
        <v>30</v>
      </c>
      <c r="Z18" s="5"/>
      <c r="AA18" s="6">
        <v>3.22</v>
      </c>
      <c r="AB18" s="6">
        <v>7.91</v>
      </c>
      <c r="AC18" s="4"/>
      <c r="AD18" s="4"/>
      <c r="AE18" s="4"/>
      <c r="AG18" s="6" t="s">
        <v>38</v>
      </c>
      <c r="AI18" s="6">
        <v>0.04</v>
      </c>
      <c r="AJ18" s="6">
        <v>8.4700000000000006</v>
      </c>
      <c r="AO18" s="6" t="s">
        <v>42</v>
      </c>
      <c r="AQ18" s="6">
        <v>1.84</v>
      </c>
      <c r="AR18" s="6">
        <v>8.49</v>
      </c>
    </row>
    <row r="19" spans="1:44" s="6" customFormat="1" x14ac:dyDescent="0.2">
      <c r="A19" s="4"/>
      <c r="B19" s="5"/>
      <c r="C19" s="4">
        <v>0.44</v>
      </c>
      <c r="D19" s="4">
        <v>6.78</v>
      </c>
      <c r="E19" s="4"/>
      <c r="F19" s="4"/>
      <c r="G19" s="4"/>
      <c r="I19" s="4"/>
      <c r="J19" s="5"/>
      <c r="K19" s="4">
        <v>2.4900000000000002</v>
      </c>
      <c r="L19" s="4">
        <v>5.83</v>
      </c>
      <c r="M19" s="4"/>
      <c r="N19" s="4"/>
      <c r="O19" s="4"/>
      <c r="R19" s="5"/>
      <c r="S19" s="6">
        <v>0.88</v>
      </c>
      <c r="T19" s="6">
        <v>5.94</v>
      </c>
      <c r="W19" s="4"/>
      <c r="Z19" s="5"/>
      <c r="AA19" s="6">
        <v>8.25</v>
      </c>
      <c r="AB19" s="6">
        <v>9</v>
      </c>
      <c r="AE19" s="4"/>
      <c r="AI19" s="6">
        <v>0.46</v>
      </c>
      <c r="AJ19" s="6">
        <v>7.16</v>
      </c>
      <c r="AQ19" s="6">
        <v>4.78</v>
      </c>
      <c r="AR19" s="6">
        <v>9.41</v>
      </c>
    </row>
    <row r="20" spans="1:44" s="6" customFormat="1" x14ac:dyDescent="0.2">
      <c r="A20" s="4"/>
      <c r="B20" s="5"/>
      <c r="C20" s="4">
        <v>0.16</v>
      </c>
      <c r="D20" s="4">
        <v>7.35</v>
      </c>
      <c r="E20" s="4"/>
      <c r="F20" s="4"/>
      <c r="G20" s="4"/>
      <c r="I20" s="4"/>
      <c r="J20" s="5"/>
      <c r="K20" s="4">
        <v>1.88</v>
      </c>
      <c r="L20" s="4">
        <v>3.96</v>
      </c>
      <c r="M20" s="4"/>
      <c r="N20" s="4"/>
      <c r="O20" s="4"/>
      <c r="R20" s="5"/>
      <c r="S20" s="6">
        <v>0.9</v>
      </c>
      <c r="T20" s="6">
        <v>6.73</v>
      </c>
      <c r="W20" s="4"/>
      <c r="Z20" s="5"/>
      <c r="AA20" s="6">
        <v>1.81</v>
      </c>
      <c r="AB20" s="6">
        <v>4.12</v>
      </c>
      <c r="AE20" s="4"/>
      <c r="AI20" s="6">
        <v>0.08</v>
      </c>
      <c r="AJ20" s="6">
        <v>5.5</v>
      </c>
      <c r="AQ20" s="6">
        <v>2.08</v>
      </c>
      <c r="AR20" s="6">
        <v>5.75</v>
      </c>
    </row>
    <row r="21" spans="1:44" s="6" customFormat="1" x14ac:dyDescent="0.2">
      <c r="A21" s="4"/>
      <c r="B21" s="5"/>
      <c r="C21" s="4">
        <v>0.46</v>
      </c>
      <c r="D21" s="4">
        <v>9.76</v>
      </c>
      <c r="E21" s="4"/>
      <c r="F21" s="4"/>
      <c r="G21" s="4"/>
      <c r="I21" s="4"/>
      <c r="J21" s="5"/>
      <c r="K21" s="4">
        <v>1.55</v>
      </c>
      <c r="L21" s="4">
        <v>9.93</v>
      </c>
      <c r="M21" s="4"/>
      <c r="N21" s="4"/>
      <c r="O21" s="4"/>
      <c r="R21" s="5"/>
      <c r="S21" s="6">
        <v>0.87</v>
      </c>
      <c r="T21" s="6">
        <v>6.47</v>
      </c>
      <c r="W21" s="4"/>
      <c r="Z21" s="5"/>
      <c r="AA21" s="6">
        <v>4.2300000000000004</v>
      </c>
      <c r="AB21" s="6">
        <v>7.82</v>
      </c>
      <c r="AE21" s="4"/>
      <c r="AI21" s="6">
        <v>0.05</v>
      </c>
      <c r="AJ21" s="6">
        <v>6.01</v>
      </c>
      <c r="AQ21" s="6">
        <v>4</v>
      </c>
      <c r="AR21" s="6">
        <v>4.9800000000000004</v>
      </c>
    </row>
    <row r="22" spans="1:44" s="6" customFormat="1" x14ac:dyDescent="0.2">
      <c r="A22" s="4"/>
      <c r="B22" s="5"/>
      <c r="C22" s="4">
        <v>0.49</v>
      </c>
      <c r="D22" s="4">
        <v>7.76</v>
      </c>
      <c r="E22" s="4"/>
      <c r="F22" s="4"/>
      <c r="G22" s="4"/>
      <c r="I22" s="4"/>
      <c r="J22" s="5"/>
      <c r="K22" s="4">
        <v>3.52</v>
      </c>
      <c r="L22" s="4">
        <v>5.63</v>
      </c>
      <c r="M22" s="4"/>
      <c r="N22" s="4"/>
      <c r="O22" s="4"/>
      <c r="R22" s="5"/>
      <c r="S22" s="6">
        <v>1.39</v>
      </c>
      <c r="T22" s="6">
        <v>9.7799999999999994</v>
      </c>
      <c r="W22" s="4"/>
      <c r="Z22" s="5"/>
      <c r="AA22" s="6">
        <v>3.26</v>
      </c>
      <c r="AB22" s="6">
        <v>9.24</v>
      </c>
      <c r="AE22" s="4"/>
      <c r="AI22" s="6">
        <v>0.95</v>
      </c>
      <c r="AJ22" s="6">
        <v>5.12</v>
      </c>
      <c r="AQ22" s="6">
        <v>4</v>
      </c>
      <c r="AR22" s="6">
        <v>3.9</v>
      </c>
    </row>
    <row r="23" spans="1:44" x14ac:dyDescent="0.2">
      <c r="A23" s="1" t="s">
        <v>9</v>
      </c>
      <c r="B23" s="2"/>
      <c r="C23" s="1">
        <v>1.25</v>
      </c>
      <c r="D23" s="1">
        <v>5.58</v>
      </c>
      <c r="I23" s="1" t="s">
        <v>14</v>
      </c>
      <c r="J23" s="2"/>
      <c r="K23" s="1">
        <v>5.15</v>
      </c>
      <c r="L23" s="1">
        <v>4.96</v>
      </c>
      <c r="M23" s="1"/>
      <c r="N23" s="1"/>
      <c r="O23" s="1"/>
      <c r="Q23" s="3" t="s">
        <v>10</v>
      </c>
      <c r="R23" s="2"/>
      <c r="S23" s="3">
        <v>0.79</v>
      </c>
      <c r="T23" s="3">
        <v>5.26</v>
      </c>
      <c r="W23" s="1"/>
      <c r="Y23" s="3" t="s">
        <v>31</v>
      </c>
      <c r="AA23" s="3">
        <v>1.0900000000000001</v>
      </c>
      <c r="AB23" s="3">
        <v>8.7100000000000009</v>
      </c>
      <c r="AG23" s="3" t="s">
        <v>28</v>
      </c>
      <c r="AI23" s="3">
        <v>0.18</v>
      </c>
      <c r="AJ23" s="3">
        <v>3.77</v>
      </c>
      <c r="AO23" s="3" t="s">
        <v>33</v>
      </c>
      <c r="AQ23" s="3">
        <v>5.34</v>
      </c>
      <c r="AR23" s="3">
        <v>7.46</v>
      </c>
    </row>
    <row r="24" spans="1:44" x14ac:dyDescent="0.2">
      <c r="B24" s="2"/>
      <c r="C24" s="1">
        <v>1.46</v>
      </c>
      <c r="D24" s="1">
        <v>8.7799999999999994</v>
      </c>
      <c r="J24" s="2"/>
      <c r="K24" s="1">
        <v>4.4800000000000004</v>
      </c>
      <c r="L24" s="1">
        <v>10.16</v>
      </c>
      <c r="M24" s="1"/>
      <c r="N24" s="1"/>
      <c r="O24" s="1"/>
      <c r="R24" s="2"/>
      <c r="S24" s="3">
        <v>0.26</v>
      </c>
      <c r="T24" s="3">
        <v>2.4700000000000002</v>
      </c>
      <c r="AA24" s="3">
        <v>3.74</v>
      </c>
      <c r="AB24" s="3">
        <v>8.18</v>
      </c>
      <c r="AI24" s="3">
        <v>0.57999999999999996</v>
      </c>
      <c r="AJ24" s="3">
        <v>2.68</v>
      </c>
      <c r="AQ24" s="3">
        <v>3.13</v>
      </c>
      <c r="AR24" s="3">
        <v>6.75</v>
      </c>
    </row>
    <row r="25" spans="1:44" x14ac:dyDescent="0.2">
      <c r="B25" s="2"/>
      <c r="C25" s="1">
        <v>0.17</v>
      </c>
      <c r="D25" s="1">
        <v>8.02</v>
      </c>
      <c r="I25" s="1"/>
      <c r="J25" s="2"/>
      <c r="K25" s="1">
        <v>2.36</v>
      </c>
      <c r="L25" s="1">
        <v>6.5</v>
      </c>
      <c r="M25" s="1"/>
      <c r="N25" s="1"/>
      <c r="O25" s="1"/>
      <c r="R25" s="2"/>
      <c r="S25" s="3">
        <v>0.28999999999999998</v>
      </c>
      <c r="T25" s="3">
        <v>5.62</v>
      </c>
      <c r="AA25" s="3">
        <v>8.6</v>
      </c>
      <c r="AB25" s="3">
        <v>7.72</v>
      </c>
      <c r="AI25" s="3">
        <v>1.32</v>
      </c>
      <c r="AJ25" s="3">
        <v>6.32</v>
      </c>
      <c r="AQ25" s="3">
        <v>2.69</v>
      </c>
      <c r="AR25" s="3">
        <v>7.62</v>
      </c>
    </row>
    <row r="26" spans="1:44" x14ac:dyDescent="0.2">
      <c r="B26" s="2"/>
      <c r="C26" s="1">
        <v>0.43</v>
      </c>
      <c r="D26" s="1">
        <v>5.14</v>
      </c>
      <c r="I26" s="1"/>
      <c r="J26" s="2"/>
      <c r="K26" s="1">
        <v>3.31</v>
      </c>
      <c r="L26" s="1">
        <v>3.02</v>
      </c>
      <c r="M26" s="1"/>
      <c r="N26" s="1"/>
      <c r="O26" s="1"/>
      <c r="R26" s="2"/>
      <c r="S26" s="3">
        <v>0.27</v>
      </c>
      <c r="T26" s="3">
        <v>8.67</v>
      </c>
      <c r="AA26" s="3">
        <v>4.41</v>
      </c>
      <c r="AB26" s="3">
        <v>7.3</v>
      </c>
      <c r="AI26" s="3">
        <v>0.03</v>
      </c>
      <c r="AJ26" s="3">
        <v>5.47</v>
      </c>
      <c r="AQ26" s="3">
        <v>3.4</v>
      </c>
      <c r="AR26" s="3">
        <v>4.29</v>
      </c>
    </row>
    <row r="27" spans="1:44" x14ac:dyDescent="0.2">
      <c r="B27" s="2"/>
      <c r="C27" s="1">
        <v>0.16</v>
      </c>
      <c r="D27" s="1">
        <v>3.46</v>
      </c>
      <c r="I27" s="1"/>
      <c r="J27" s="2"/>
      <c r="K27" s="1">
        <v>4.97</v>
      </c>
      <c r="L27" s="3">
        <v>5.32</v>
      </c>
      <c r="M27" s="1"/>
      <c r="N27" s="1"/>
      <c r="O27" s="1"/>
      <c r="R27" s="2"/>
      <c r="S27" s="3">
        <v>0.16</v>
      </c>
      <c r="T27" s="3">
        <v>8.08</v>
      </c>
      <c r="AA27" s="3">
        <v>4.24</v>
      </c>
      <c r="AB27" s="3">
        <v>11.02</v>
      </c>
      <c r="AI27" s="3">
        <v>0.08</v>
      </c>
      <c r="AJ27" s="3">
        <v>9.66</v>
      </c>
      <c r="AQ27" s="3">
        <v>3.43</v>
      </c>
      <c r="AR27" s="3">
        <v>9.08</v>
      </c>
    </row>
    <row r="28" spans="1:44" s="6" customFormat="1" x14ac:dyDescent="0.2">
      <c r="A28" s="4"/>
      <c r="B28" s="4"/>
      <c r="C28" s="4"/>
      <c r="D28" s="4"/>
      <c r="E28" s="4"/>
      <c r="F28" s="4"/>
      <c r="G28" s="4"/>
      <c r="I28" s="4" t="s">
        <v>15</v>
      </c>
      <c r="K28" s="6">
        <v>1.92</v>
      </c>
      <c r="L28" s="6">
        <v>3.97</v>
      </c>
      <c r="Q28" s="6" t="s">
        <v>11</v>
      </c>
      <c r="S28" s="6">
        <v>0.14000000000000001</v>
      </c>
      <c r="T28" s="6">
        <v>7.43</v>
      </c>
      <c r="Y28" s="6" t="s">
        <v>32</v>
      </c>
      <c r="AA28" s="6">
        <v>2.62</v>
      </c>
      <c r="AB28" s="6">
        <v>8.69</v>
      </c>
      <c r="AG28" s="6" t="s">
        <v>29</v>
      </c>
      <c r="AI28" s="6">
        <v>0.36</v>
      </c>
      <c r="AJ28" s="6">
        <v>4.1500000000000004</v>
      </c>
      <c r="AO28" s="6" t="s">
        <v>34</v>
      </c>
      <c r="AQ28" s="6">
        <v>7.36</v>
      </c>
      <c r="AR28" s="6">
        <v>4.9800000000000004</v>
      </c>
    </row>
    <row r="29" spans="1:44" s="6" customFormat="1" x14ac:dyDescent="0.2">
      <c r="A29" s="4"/>
      <c r="B29" s="4"/>
      <c r="C29" s="4"/>
      <c r="D29" s="4"/>
      <c r="E29" s="4"/>
      <c r="F29" s="4"/>
      <c r="G29" s="4"/>
      <c r="K29" s="6">
        <v>3.45</v>
      </c>
      <c r="L29" s="6">
        <v>5.33</v>
      </c>
      <c r="S29" s="6">
        <v>0.11</v>
      </c>
      <c r="T29" s="6">
        <v>5.91</v>
      </c>
      <c r="AA29" s="6">
        <v>1.57</v>
      </c>
      <c r="AB29" s="6">
        <v>8.6999999999999993</v>
      </c>
      <c r="AI29" s="6">
        <v>0.17</v>
      </c>
      <c r="AJ29" s="6">
        <v>4.74</v>
      </c>
      <c r="AQ29" s="6">
        <v>5.43</v>
      </c>
      <c r="AR29" s="6">
        <v>6.92</v>
      </c>
    </row>
    <row r="30" spans="1:44" s="6" customFormat="1" x14ac:dyDescent="0.2">
      <c r="A30" s="4"/>
      <c r="B30" s="4"/>
      <c r="C30" s="4"/>
      <c r="D30" s="4"/>
      <c r="E30" s="4"/>
      <c r="F30" s="4"/>
      <c r="G30" s="4"/>
      <c r="K30" s="6">
        <v>5.48</v>
      </c>
      <c r="L30" s="4">
        <v>4.1500000000000004</v>
      </c>
      <c r="S30" s="6">
        <v>0.16</v>
      </c>
      <c r="T30" s="6">
        <v>5.32</v>
      </c>
      <c r="AA30" s="6">
        <v>6.29</v>
      </c>
      <c r="AB30" s="6">
        <v>7.4</v>
      </c>
      <c r="AI30" s="6">
        <v>0.72</v>
      </c>
      <c r="AJ30" s="6">
        <v>8.41</v>
      </c>
      <c r="AQ30" s="6">
        <v>4.21</v>
      </c>
      <c r="AR30" s="6">
        <v>9.01</v>
      </c>
    </row>
    <row r="31" spans="1:44" s="6" customFormat="1" x14ac:dyDescent="0.2">
      <c r="A31" s="4"/>
      <c r="B31" s="4"/>
      <c r="C31" s="4"/>
      <c r="D31" s="4"/>
      <c r="E31" s="4"/>
      <c r="F31" s="4"/>
      <c r="G31" s="4"/>
      <c r="I31" s="4"/>
      <c r="J31" s="4"/>
      <c r="K31" s="4">
        <v>5.18</v>
      </c>
      <c r="L31" s="6">
        <v>5.34</v>
      </c>
      <c r="M31" s="4"/>
      <c r="N31" s="4"/>
      <c r="O31" s="4"/>
      <c r="Q31" s="4"/>
      <c r="R31" s="4"/>
      <c r="S31" s="4">
        <v>0.14000000000000001</v>
      </c>
      <c r="T31" s="4">
        <v>10.73</v>
      </c>
      <c r="U31" s="4"/>
      <c r="V31" s="4"/>
      <c r="W31" s="4"/>
      <c r="Y31" s="4"/>
      <c r="Z31" s="4"/>
      <c r="AA31" s="4">
        <v>2.95</v>
      </c>
      <c r="AB31" s="4">
        <v>7.76</v>
      </c>
      <c r="AC31" s="4"/>
      <c r="AD31" s="4"/>
      <c r="AE31" s="4"/>
      <c r="AI31" s="6">
        <v>0.15</v>
      </c>
      <c r="AJ31" s="6">
        <v>6.63</v>
      </c>
      <c r="AQ31" s="6">
        <v>3.86</v>
      </c>
      <c r="AR31" s="6">
        <v>4.58</v>
      </c>
    </row>
    <row r="32" spans="1:44" s="6" customFormat="1" x14ac:dyDescent="0.2">
      <c r="A32" s="4"/>
      <c r="B32" s="5"/>
      <c r="C32" s="4"/>
      <c r="D32" s="4"/>
      <c r="E32" s="4"/>
      <c r="F32" s="4"/>
      <c r="G32" s="4"/>
      <c r="J32" s="5"/>
      <c r="K32" s="6">
        <v>3.2</v>
      </c>
      <c r="L32" s="4">
        <v>3.8</v>
      </c>
      <c r="M32" s="4"/>
      <c r="N32" s="4"/>
      <c r="O32" s="4"/>
      <c r="R32" s="5"/>
      <c r="S32" s="6">
        <v>1.1200000000000001</v>
      </c>
      <c r="T32" s="6">
        <v>7.12</v>
      </c>
      <c r="U32" s="4"/>
      <c r="V32" s="4"/>
      <c r="W32" s="4"/>
      <c r="Z32" s="5"/>
      <c r="AA32" s="6">
        <v>2.88</v>
      </c>
      <c r="AB32" s="6">
        <v>7.5</v>
      </c>
      <c r="AC32" s="4"/>
      <c r="AD32" s="4"/>
      <c r="AE32" s="4"/>
      <c r="AI32" s="6">
        <v>0.36</v>
      </c>
      <c r="AJ32" s="6">
        <v>8.11</v>
      </c>
      <c r="AQ32" s="6">
        <v>4.01</v>
      </c>
      <c r="AR32" s="6">
        <v>6.41</v>
      </c>
    </row>
    <row r="33" spans="1:31" x14ac:dyDescent="0.2">
      <c r="A33" s="3"/>
      <c r="B33" s="2"/>
      <c r="J33" s="2"/>
      <c r="M33" s="1"/>
      <c r="N33" s="1"/>
      <c r="O33" s="1"/>
      <c r="R33" s="2"/>
      <c r="U33" s="1"/>
      <c r="V33" s="1"/>
      <c r="W33" s="1"/>
      <c r="Z33" s="2"/>
      <c r="AC33" s="1"/>
      <c r="AD33" s="1"/>
      <c r="AE33" s="1"/>
    </row>
    <row r="34" spans="1:31" x14ac:dyDescent="0.2">
      <c r="A34" s="3"/>
      <c r="B34" s="2"/>
      <c r="J34" s="2"/>
      <c r="M34" s="1"/>
      <c r="N34" s="1"/>
      <c r="O34" s="1"/>
      <c r="R34" s="2"/>
      <c r="U34" s="1"/>
      <c r="V34" s="1"/>
      <c r="W34" s="1"/>
      <c r="Z34" s="2"/>
      <c r="AC34" s="1"/>
      <c r="AD34" s="1"/>
      <c r="AE34" s="1"/>
    </row>
    <row r="35" spans="1:31" x14ac:dyDescent="0.2">
      <c r="A35" s="3"/>
      <c r="B35" s="2"/>
      <c r="J35" s="2"/>
      <c r="M35" s="1"/>
      <c r="N35" s="1"/>
      <c r="O35" s="1"/>
      <c r="R35" s="2"/>
      <c r="U35" s="1"/>
      <c r="V35" s="1"/>
      <c r="W35" s="1"/>
      <c r="Z35" s="2"/>
      <c r="AC35" s="1"/>
      <c r="AD35" s="1"/>
      <c r="AE35" s="1"/>
    </row>
    <row r="36" spans="1:31" x14ac:dyDescent="0.2">
      <c r="A36" s="3"/>
      <c r="B36" s="2"/>
      <c r="J36" s="2"/>
      <c r="M36" s="1"/>
      <c r="N36" s="1"/>
      <c r="O36" s="1"/>
      <c r="R36" s="2"/>
      <c r="U36" s="1"/>
      <c r="V36" s="1"/>
      <c r="W36" s="1"/>
      <c r="Z36" s="2"/>
      <c r="AC36" s="1"/>
      <c r="AD36" s="1"/>
      <c r="AE36" s="1"/>
    </row>
    <row r="37" spans="1:31" x14ac:dyDescent="0.2">
      <c r="B37" s="2"/>
      <c r="J37" s="2"/>
      <c r="M37" s="1"/>
      <c r="N37" s="1"/>
      <c r="O37" s="1"/>
      <c r="R37" s="2"/>
      <c r="U37" s="1"/>
      <c r="V37" s="1"/>
      <c r="W37" s="1"/>
      <c r="Z37" s="2"/>
      <c r="AC37" s="1"/>
      <c r="AD37" s="1"/>
      <c r="AE37" s="1"/>
    </row>
    <row r="38" spans="1:31" x14ac:dyDescent="0.2">
      <c r="A38" s="3"/>
      <c r="B38" s="2"/>
      <c r="J38" s="2"/>
      <c r="M38" s="1"/>
      <c r="N38" s="1"/>
      <c r="O38" s="1"/>
      <c r="R38" s="2"/>
      <c r="U38" s="1"/>
      <c r="V38" s="1"/>
      <c r="W38" s="1"/>
      <c r="Z38" s="2"/>
      <c r="AC38" s="1"/>
      <c r="AD38" s="1"/>
      <c r="AE38" s="1"/>
    </row>
    <row r="39" spans="1:31" x14ac:dyDescent="0.2">
      <c r="A39" s="3"/>
      <c r="B39" s="2"/>
      <c r="J39" s="2"/>
      <c r="M39" s="1"/>
      <c r="N39" s="1"/>
      <c r="O39" s="1"/>
      <c r="R39" s="2"/>
      <c r="U39" s="1"/>
      <c r="V39" s="1"/>
      <c r="W39" s="1"/>
      <c r="Z39" s="2"/>
      <c r="AC39" s="1"/>
      <c r="AD39" s="1"/>
      <c r="AE39" s="1"/>
    </row>
    <row r="40" spans="1:31" x14ac:dyDescent="0.2">
      <c r="A40" s="3"/>
      <c r="B40" s="2"/>
      <c r="J40" s="2"/>
      <c r="M40" s="1"/>
      <c r="N40" s="1"/>
      <c r="O40" s="1"/>
      <c r="R40" s="2"/>
      <c r="U40" s="1"/>
      <c r="V40" s="1"/>
      <c r="W40" s="1"/>
      <c r="Z40" s="2"/>
      <c r="AC40" s="1"/>
      <c r="AD40" s="1"/>
      <c r="AE40" s="1"/>
    </row>
    <row r="41" spans="1:31" x14ac:dyDescent="0.2">
      <c r="B41" s="2"/>
      <c r="J41" s="2"/>
      <c r="M41" s="1"/>
      <c r="N41" s="1"/>
      <c r="O41" s="1"/>
      <c r="R41" s="2"/>
      <c r="U41" s="1"/>
      <c r="V41" s="1"/>
      <c r="W41" s="1"/>
      <c r="Z41" s="2"/>
      <c r="AC41" s="1"/>
      <c r="AD41" s="1"/>
      <c r="AE41" s="1"/>
    </row>
    <row r="42" spans="1:31" x14ac:dyDescent="0.2">
      <c r="B42" s="2"/>
      <c r="J42" s="2"/>
      <c r="M42" s="1"/>
      <c r="N42" s="1"/>
      <c r="O42" s="1"/>
      <c r="R42" s="2"/>
      <c r="U42" s="1"/>
      <c r="V42" s="1"/>
      <c r="W42" s="1"/>
      <c r="Z42" s="2"/>
      <c r="AC42" s="1"/>
      <c r="AD42" s="1"/>
      <c r="AE42" s="1"/>
    </row>
    <row r="43" spans="1:31" x14ac:dyDescent="0.2">
      <c r="A43" s="3"/>
      <c r="B43" s="2"/>
      <c r="J43" s="2"/>
      <c r="M43" s="1"/>
      <c r="N43" s="1"/>
      <c r="O43" s="1"/>
      <c r="R43" s="2"/>
      <c r="U43" s="1"/>
      <c r="V43" s="1"/>
      <c r="W43" s="1"/>
      <c r="Z43" s="2"/>
      <c r="AC43" s="1"/>
      <c r="AD43" s="1"/>
      <c r="AE43" s="1"/>
    </row>
    <row r="44" spans="1:31" x14ac:dyDescent="0.2">
      <c r="A44" s="3"/>
      <c r="B44" s="2"/>
      <c r="J44" s="2"/>
      <c r="M44" s="1"/>
      <c r="N44" s="1"/>
      <c r="O44" s="1"/>
      <c r="R44" s="2"/>
      <c r="U44" s="1"/>
      <c r="V44" s="1"/>
      <c r="W44" s="1"/>
      <c r="Z44" s="2"/>
      <c r="AC44" s="1"/>
      <c r="AD44" s="1"/>
      <c r="AE44" s="1"/>
    </row>
    <row r="45" spans="1:31" x14ac:dyDescent="0.2">
      <c r="B45" s="2"/>
      <c r="J45" s="2"/>
      <c r="M45" s="1"/>
      <c r="N45" s="1"/>
      <c r="O45" s="1"/>
      <c r="R45" s="2"/>
      <c r="U45" s="1"/>
      <c r="V45" s="1"/>
      <c r="W45" s="1"/>
      <c r="Z45" s="2"/>
      <c r="AC45" s="1"/>
      <c r="AD45" s="1"/>
      <c r="AE45" s="1"/>
    </row>
    <row r="46" spans="1:31" x14ac:dyDescent="0.2">
      <c r="B46" s="2"/>
      <c r="J46" s="2"/>
      <c r="M46" s="1"/>
      <c r="N46" s="1"/>
      <c r="O46" s="1"/>
      <c r="R46" s="2"/>
      <c r="U46" s="1"/>
      <c r="V46" s="1"/>
      <c r="W46" s="1"/>
      <c r="Z46" s="2"/>
      <c r="AC46" s="1"/>
      <c r="AD46" s="1"/>
      <c r="AE46" s="1"/>
    </row>
    <row r="47" spans="1:31" x14ac:dyDescent="0.2">
      <c r="B47" s="2"/>
      <c r="J47" s="2"/>
      <c r="M47" s="1"/>
      <c r="N47" s="1"/>
      <c r="O47" s="1"/>
      <c r="R47" s="2"/>
      <c r="U47" s="1"/>
      <c r="V47" s="1"/>
      <c r="W47" s="1"/>
      <c r="Z47" s="2"/>
      <c r="AC47" s="1"/>
      <c r="AD47" s="1"/>
      <c r="AE47" s="1"/>
    </row>
    <row r="48" spans="1:31" x14ac:dyDescent="0.2">
      <c r="A48" s="3"/>
      <c r="B48" s="2"/>
      <c r="J48" s="2"/>
      <c r="M48" s="1"/>
      <c r="N48" s="1"/>
      <c r="O48" s="1"/>
      <c r="R48" s="2"/>
      <c r="Z48" s="2"/>
    </row>
    <row r="49" spans="2:26" x14ac:dyDescent="0.2">
      <c r="B49" s="2"/>
      <c r="J49" s="2"/>
      <c r="M49" s="1"/>
      <c r="N49" s="1"/>
      <c r="O49" s="1"/>
      <c r="R49" s="2"/>
      <c r="Z49" s="2"/>
    </row>
    <row r="50" spans="2:26" x14ac:dyDescent="0.2">
      <c r="B50" s="2"/>
      <c r="J50" s="2"/>
      <c r="M50" s="1"/>
      <c r="N50" s="1"/>
      <c r="O50" s="1"/>
      <c r="R50" s="2"/>
      <c r="Z50" s="2"/>
    </row>
    <row r="51" spans="2:26" x14ac:dyDescent="0.2">
      <c r="B51" s="2"/>
      <c r="J51" s="2"/>
      <c r="M51" s="1"/>
      <c r="N51" s="1"/>
      <c r="O51" s="1"/>
      <c r="R51" s="2"/>
      <c r="Z51" s="2"/>
    </row>
    <row r="52" spans="2:26" x14ac:dyDescent="0.2">
      <c r="B52" s="2"/>
      <c r="J52" s="2"/>
      <c r="M52" s="1"/>
      <c r="N52" s="1"/>
      <c r="O52" s="1"/>
    </row>
    <row r="53" spans="2:26" x14ac:dyDescent="0.2">
      <c r="B53" s="2"/>
      <c r="J53" s="2"/>
    </row>
    <row r="54" spans="2:26" x14ac:dyDescent="0.2">
      <c r="B54" s="2"/>
      <c r="J54" s="2"/>
    </row>
    <row r="55" spans="2:26" x14ac:dyDescent="0.2">
      <c r="B55" s="2"/>
      <c r="J55" s="2"/>
    </row>
    <row r="56" spans="2:26" x14ac:dyDescent="0.2">
      <c r="B56" s="2"/>
      <c r="J56" s="2"/>
    </row>
    <row r="57" spans="2:26" x14ac:dyDescent="0.2">
      <c r="B57" s="2"/>
    </row>
    <row r="58" spans="2:26" x14ac:dyDescent="0.2">
      <c r="B58" s="2"/>
      <c r="M58" s="1"/>
    </row>
    <row r="59" spans="2:26" x14ac:dyDescent="0.2">
      <c r="B59" s="2"/>
      <c r="M59" s="1"/>
    </row>
    <row r="60" spans="2:26" x14ac:dyDescent="0.2">
      <c r="B60" s="2"/>
      <c r="M60" s="1"/>
    </row>
    <row r="61" spans="2:26" x14ac:dyDescent="0.2">
      <c r="B61" s="2"/>
      <c r="M61" s="1"/>
    </row>
    <row r="62" spans="2:26" x14ac:dyDescent="0.2">
      <c r="B62" s="2"/>
      <c r="M62" s="1"/>
    </row>
    <row r="63" spans="2:26" x14ac:dyDescent="0.2">
      <c r="B63" s="2"/>
      <c r="M63" s="1"/>
    </row>
    <row r="64" spans="2:26" x14ac:dyDescent="0.2">
      <c r="B64" s="2"/>
      <c r="M64" s="1"/>
    </row>
    <row r="65" spans="2:13" x14ac:dyDescent="0.2">
      <c r="B65" s="2"/>
      <c r="M65" s="1"/>
    </row>
    <row r="66" spans="2:13" x14ac:dyDescent="0.2">
      <c r="B66" s="2"/>
      <c r="M66" s="1"/>
    </row>
    <row r="67" spans="2:13" x14ac:dyDescent="0.2">
      <c r="B67" s="2"/>
      <c r="M67" s="1"/>
    </row>
    <row r="68" spans="2:13" x14ac:dyDescent="0.2">
      <c r="B68" s="2"/>
      <c r="M68" s="1"/>
    </row>
    <row r="69" spans="2:13" x14ac:dyDescent="0.2">
      <c r="B69" s="2"/>
      <c r="M69" s="1"/>
    </row>
    <row r="70" spans="2:13" x14ac:dyDescent="0.2">
      <c r="B70" s="2"/>
      <c r="M70" s="1"/>
    </row>
    <row r="71" spans="2:13" x14ac:dyDescent="0.2">
      <c r="B71" s="2"/>
      <c r="M71" s="1"/>
    </row>
    <row r="72" spans="2:13" x14ac:dyDescent="0.2">
      <c r="B72" s="2"/>
      <c r="M72" s="1"/>
    </row>
    <row r="73" spans="2:13" x14ac:dyDescent="0.2">
      <c r="B73" s="2"/>
      <c r="M73" s="1"/>
    </row>
    <row r="74" spans="2:13" x14ac:dyDescent="0.2">
      <c r="B74" s="2"/>
      <c r="M74" s="1"/>
    </row>
    <row r="75" spans="2:13" x14ac:dyDescent="0.2">
      <c r="B75" s="2"/>
      <c r="M75" s="1"/>
    </row>
    <row r="76" spans="2:13" x14ac:dyDescent="0.2">
      <c r="B76" s="2"/>
      <c r="M76" s="1"/>
    </row>
    <row r="77" spans="2:13" x14ac:dyDescent="0.2">
      <c r="B77" s="2"/>
      <c r="M77" s="1"/>
    </row>
    <row r="78" spans="2:13" x14ac:dyDescent="0.2">
      <c r="B78" s="2"/>
      <c r="M78" s="1"/>
    </row>
    <row r="79" spans="2:13" x14ac:dyDescent="0.2">
      <c r="B79" s="2"/>
      <c r="M79" s="1"/>
    </row>
    <row r="80" spans="2:13" x14ac:dyDescent="0.2">
      <c r="B80" s="2"/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  <row r="92" spans="13:13" x14ac:dyDescent="0.2">
      <c r="M92" s="1"/>
    </row>
  </sheetData>
  <mergeCells count="6">
    <mergeCell ref="AO1:AU1"/>
    <mergeCell ref="A1:G1"/>
    <mergeCell ref="I1:O1"/>
    <mergeCell ref="Q1:W1"/>
    <mergeCell ref="Y1:AE1"/>
    <mergeCell ref="AG1:A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0F2A-C81E-2C4B-8014-8A22B5609859}">
  <dimension ref="A1:AU92"/>
  <sheetViews>
    <sheetView topLeftCell="R1" workbookViewId="0">
      <selection activeCell="AH3" sqref="AH3:AJ32"/>
    </sheetView>
  </sheetViews>
  <sheetFormatPr defaultColWidth="10.875" defaultRowHeight="15" x14ac:dyDescent="0.2"/>
  <cols>
    <col min="1" max="1" width="16.5" style="1" bestFit="1" customWidth="1"/>
    <col min="2" max="2" width="16.5" style="1" customWidth="1"/>
    <col min="3" max="7" width="10.875" style="1"/>
    <col min="8" max="16384" width="10.875" style="3"/>
  </cols>
  <sheetData>
    <row r="1" spans="1:47" x14ac:dyDescent="0.2">
      <c r="A1" s="54" t="s">
        <v>162</v>
      </c>
      <c r="B1" s="54"/>
      <c r="C1" s="54"/>
      <c r="D1" s="54"/>
      <c r="E1" s="54"/>
      <c r="F1" s="54"/>
      <c r="G1" s="54"/>
      <c r="I1" s="54" t="s">
        <v>163</v>
      </c>
      <c r="J1" s="54"/>
      <c r="K1" s="54"/>
      <c r="L1" s="54"/>
      <c r="M1" s="54"/>
      <c r="N1" s="54"/>
      <c r="O1" s="54"/>
      <c r="Q1" s="54" t="s">
        <v>164</v>
      </c>
      <c r="R1" s="54"/>
      <c r="S1" s="54"/>
      <c r="T1" s="54"/>
      <c r="U1" s="54"/>
      <c r="V1" s="54"/>
      <c r="W1" s="54"/>
      <c r="Y1" s="54" t="s">
        <v>165</v>
      </c>
      <c r="Z1" s="54"/>
      <c r="AA1" s="54"/>
      <c r="AB1" s="54"/>
      <c r="AC1" s="54"/>
      <c r="AD1" s="54"/>
      <c r="AE1" s="54"/>
      <c r="AG1" s="54" t="s">
        <v>166</v>
      </c>
      <c r="AH1" s="54"/>
      <c r="AI1" s="54"/>
      <c r="AJ1" s="54"/>
      <c r="AK1" s="54"/>
      <c r="AL1" s="54"/>
      <c r="AM1" s="54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">
      <c r="A3" s="1" t="s">
        <v>12</v>
      </c>
      <c r="B3" s="2">
        <v>45341</v>
      </c>
      <c r="C3" s="1">
        <v>8.3000000000000007</v>
      </c>
      <c r="D3" s="1">
        <v>5.45</v>
      </c>
      <c r="I3" s="1" t="s">
        <v>21</v>
      </c>
      <c r="J3" s="2">
        <v>45341</v>
      </c>
      <c r="K3" s="1">
        <v>1.63</v>
      </c>
      <c r="L3" s="1">
        <v>10.49</v>
      </c>
      <c r="M3" s="1"/>
      <c r="N3" s="1"/>
      <c r="O3" s="1"/>
      <c r="Q3" s="3" t="s">
        <v>17</v>
      </c>
      <c r="R3" s="2">
        <v>45343</v>
      </c>
      <c r="S3" s="3">
        <v>3.8</v>
      </c>
      <c r="T3" s="3">
        <v>3.47</v>
      </c>
      <c r="U3" s="1"/>
      <c r="V3" s="1"/>
      <c r="W3" s="1"/>
      <c r="Y3" s="3" t="s">
        <v>25</v>
      </c>
      <c r="Z3" s="2">
        <v>45343</v>
      </c>
      <c r="AA3" s="3">
        <v>0.16</v>
      </c>
      <c r="AB3" s="3">
        <v>0.53</v>
      </c>
      <c r="AC3" s="1"/>
      <c r="AD3" s="1"/>
      <c r="AE3" s="1"/>
      <c r="AG3" s="3" t="s">
        <v>35</v>
      </c>
      <c r="AH3" s="53">
        <v>45344</v>
      </c>
      <c r="AI3" s="3">
        <v>2.81</v>
      </c>
      <c r="AJ3" s="3">
        <v>3.59</v>
      </c>
      <c r="AO3" s="3" t="s">
        <v>39</v>
      </c>
      <c r="AP3" s="53">
        <v>45345</v>
      </c>
      <c r="AQ3" s="3">
        <v>0.26</v>
      </c>
      <c r="AR3" s="3">
        <v>3.09</v>
      </c>
    </row>
    <row r="4" spans="1:47" x14ac:dyDescent="0.2">
      <c r="B4" s="2"/>
      <c r="C4" s="1">
        <v>5.19</v>
      </c>
      <c r="D4" s="1">
        <v>9.8000000000000007</v>
      </c>
      <c r="J4" s="2"/>
      <c r="K4" s="1">
        <v>0.41</v>
      </c>
      <c r="L4" s="1">
        <v>4.58</v>
      </c>
      <c r="M4" s="1"/>
      <c r="N4" s="1"/>
      <c r="O4" s="1"/>
      <c r="R4" s="2"/>
      <c r="S4" s="3">
        <v>4.0199999999999996</v>
      </c>
      <c r="T4" s="3">
        <v>11.21</v>
      </c>
      <c r="U4" s="1"/>
      <c r="V4" s="1"/>
      <c r="W4" s="1"/>
      <c r="Z4" s="2"/>
      <c r="AA4" s="3">
        <v>0.75</v>
      </c>
      <c r="AB4" s="3">
        <v>3.14</v>
      </c>
      <c r="AC4" s="1"/>
      <c r="AD4" s="1"/>
      <c r="AE4" s="1"/>
      <c r="AI4" s="3">
        <v>4.88</v>
      </c>
      <c r="AJ4" s="3">
        <v>7.17</v>
      </c>
      <c r="AQ4" s="3">
        <v>0.18</v>
      </c>
      <c r="AR4" s="3">
        <v>9.1199999999999992</v>
      </c>
    </row>
    <row r="5" spans="1:47" x14ac:dyDescent="0.2">
      <c r="B5" s="2"/>
      <c r="C5" s="1">
        <v>1</v>
      </c>
      <c r="D5" s="1">
        <v>5.95</v>
      </c>
      <c r="J5" s="2"/>
      <c r="K5" s="1">
        <v>0.46</v>
      </c>
      <c r="L5" s="1">
        <v>7.9</v>
      </c>
      <c r="M5" s="1"/>
      <c r="N5" s="1"/>
      <c r="O5" s="1"/>
      <c r="R5" s="2"/>
      <c r="S5" s="3">
        <v>6.43</v>
      </c>
      <c r="T5" s="3">
        <v>7.45</v>
      </c>
      <c r="U5" s="1"/>
      <c r="V5" s="1"/>
      <c r="W5" s="1"/>
      <c r="Z5" s="2"/>
      <c r="AA5" s="3">
        <v>0.8</v>
      </c>
      <c r="AB5" s="3">
        <v>5.74</v>
      </c>
      <c r="AC5" s="1"/>
      <c r="AD5" s="1"/>
      <c r="AE5" s="1"/>
      <c r="AI5" s="3">
        <v>4.13</v>
      </c>
      <c r="AJ5" s="3">
        <v>4.17</v>
      </c>
      <c r="AQ5" s="3">
        <v>0.18</v>
      </c>
      <c r="AR5" s="3">
        <v>8.77</v>
      </c>
    </row>
    <row r="6" spans="1:47" x14ac:dyDescent="0.2">
      <c r="B6" s="2"/>
      <c r="C6" s="1">
        <v>4.0999999999999996</v>
      </c>
      <c r="D6" s="1">
        <v>5.15</v>
      </c>
      <c r="J6" s="2"/>
      <c r="K6" s="1">
        <v>0.47</v>
      </c>
      <c r="L6" s="1">
        <v>10.24</v>
      </c>
      <c r="M6" s="1"/>
      <c r="N6" s="1"/>
      <c r="O6" s="1"/>
      <c r="R6" s="2"/>
      <c r="S6" s="3">
        <v>7.31</v>
      </c>
      <c r="T6" s="3">
        <v>3.92</v>
      </c>
      <c r="U6" s="1"/>
      <c r="V6" s="1"/>
      <c r="W6" s="1"/>
      <c r="Z6" s="2"/>
      <c r="AA6" s="3">
        <v>0.79</v>
      </c>
      <c r="AB6" s="3">
        <v>2.12</v>
      </c>
      <c r="AC6" s="1"/>
      <c r="AD6" s="1"/>
      <c r="AE6" s="1"/>
      <c r="AI6" s="3">
        <v>3.98</v>
      </c>
      <c r="AJ6" s="3">
        <v>8.34</v>
      </c>
      <c r="AQ6" s="3">
        <v>0.22</v>
      </c>
      <c r="AR6" s="3">
        <v>3.35</v>
      </c>
    </row>
    <row r="7" spans="1:47" x14ac:dyDescent="0.2">
      <c r="B7" s="2"/>
      <c r="C7" s="1">
        <v>1.99</v>
      </c>
      <c r="D7" s="1">
        <v>7.86</v>
      </c>
      <c r="I7" s="1"/>
      <c r="J7" s="2"/>
      <c r="K7" s="1">
        <v>1.66</v>
      </c>
      <c r="L7" s="1">
        <v>6.74</v>
      </c>
      <c r="M7" s="1"/>
      <c r="N7" s="1"/>
      <c r="O7" s="1"/>
      <c r="R7" s="2"/>
      <c r="S7" s="3">
        <v>6.96</v>
      </c>
      <c r="T7" s="3">
        <v>5.51</v>
      </c>
      <c r="U7" s="1"/>
      <c r="V7" s="1"/>
      <c r="W7" s="1"/>
      <c r="Z7" s="2"/>
      <c r="AA7" s="3">
        <v>0.22</v>
      </c>
      <c r="AB7" s="3">
        <v>3.73</v>
      </c>
      <c r="AC7" s="1"/>
      <c r="AD7" s="1"/>
      <c r="AE7" s="1"/>
      <c r="AI7" s="3">
        <v>4.09</v>
      </c>
      <c r="AJ7" s="3">
        <v>5.78</v>
      </c>
      <c r="AQ7" s="3">
        <v>0.86</v>
      </c>
      <c r="AR7" s="3">
        <v>6.98</v>
      </c>
    </row>
    <row r="8" spans="1:47" s="6" customFormat="1" x14ac:dyDescent="0.2">
      <c r="A8" s="4" t="s">
        <v>13</v>
      </c>
      <c r="B8" s="5"/>
      <c r="C8" s="4">
        <v>6.64</v>
      </c>
      <c r="D8" s="4">
        <v>9.83</v>
      </c>
      <c r="E8" s="4"/>
      <c r="F8" s="4"/>
      <c r="G8" s="4"/>
      <c r="I8" s="4" t="s">
        <v>22</v>
      </c>
      <c r="J8" s="5"/>
      <c r="K8" s="4">
        <v>0.05</v>
      </c>
      <c r="L8" s="4">
        <v>9.9</v>
      </c>
      <c r="M8" s="4"/>
      <c r="N8" s="4"/>
      <c r="O8" s="4"/>
      <c r="Q8" s="6" t="s">
        <v>18</v>
      </c>
      <c r="R8" s="5"/>
      <c r="S8" s="6">
        <v>2.35</v>
      </c>
      <c r="T8" s="6">
        <v>7.62</v>
      </c>
      <c r="U8" s="4"/>
      <c r="V8" s="4"/>
      <c r="W8" s="4"/>
      <c r="Y8" s="6" t="s">
        <v>26</v>
      </c>
      <c r="Z8" s="5"/>
      <c r="AA8" s="6">
        <v>0.2</v>
      </c>
      <c r="AB8" s="6">
        <v>3.32</v>
      </c>
      <c r="AC8" s="4"/>
      <c r="AD8" s="4"/>
      <c r="AE8" s="4"/>
      <c r="AG8" s="6" t="s">
        <v>36</v>
      </c>
      <c r="AI8" s="6">
        <v>5.9</v>
      </c>
      <c r="AJ8" s="6">
        <v>3.27</v>
      </c>
      <c r="AO8" s="6" t="s">
        <v>40</v>
      </c>
      <c r="AQ8" s="6">
        <v>0.11</v>
      </c>
      <c r="AR8" s="6">
        <v>3.32</v>
      </c>
    </row>
    <row r="9" spans="1:47" s="6" customFormat="1" x14ac:dyDescent="0.2">
      <c r="A9" s="4"/>
      <c r="B9" s="5"/>
      <c r="C9" s="4">
        <v>5.29</v>
      </c>
      <c r="D9" s="4">
        <v>8.7100000000000009</v>
      </c>
      <c r="E9" s="4"/>
      <c r="F9" s="4"/>
      <c r="G9" s="4"/>
      <c r="I9" s="4"/>
      <c r="J9" s="5"/>
      <c r="K9" s="4">
        <v>0.48</v>
      </c>
      <c r="L9" s="4">
        <v>0.12</v>
      </c>
      <c r="M9" s="4"/>
      <c r="N9" s="4"/>
      <c r="O9" s="4"/>
      <c r="R9" s="5"/>
      <c r="S9" s="6">
        <v>3.2</v>
      </c>
      <c r="T9" s="6">
        <v>11.58</v>
      </c>
      <c r="U9" s="4"/>
      <c r="V9" s="4"/>
      <c r="W9" s="4"/>
      <c r="Z9" s="5"/>
      <c r="AA9" s="6">
        <v>0.65</v>
      </c>
      <c r="AB9" s="6">
        <v>5.88</v>
      </c>
      <c r="AC9" s="4"/>
      <c r="AD9" s="4"/>
      <c r="AE9" s="4"/>
      <c r="AI9" s="6">
        <v>5.73</v>
      </c>
      <c r="AJ9" s="6">
        <v>8.93</v>
      </c>
      <c r="AQ9" s="6">
        <v>0.34</v>
      </c>
      <c r="AR9" s="6">
        <v>3.46</v>
      </c>
    </row>
    <row r="10" spans="1:47" s="6" customFormat="1" x14ac:dyDescent="0.2">
      <c r="A10" s="4"/>
      <c r="B10" s="5"/>
      <c r="C10" s="4">
        <v>2.35</v>
      </c>
      <c r="D10" s="4">
        <v>3.63</v>
      </c>
      <c r="E10" s="4"/>
      <c r="F10" s="4"/>
      <c r="G10" s="4"/>
      <c r="I10" s="4"/>
      <c r="J10" s="5"/>
      <c r="K10" s="4">
        <v>0.44</v>
      </c>
      <c r="L10" s="4">
        <v>7.26</v>
      </c>
      <c r="M10" s="4"/>
      <c r="N10" s="4"/>
      <c r="O10" s="4"/>
      <c r="R10" s="5"/>
      <c r="S10" s="6">
        <v>4.2</v>
      </c>
      <c r="T10" s="6">
        <v>8.0500000000000007</v>
      </c>
      <c r="U10" s="4"/>
      <c r="V10" s="4"/>
      <c r="W10" s="4"/>
      <c r="Z10" s="5"/>
      <c r="AA10" s="6">
        <v>1.79</v>
      </c>
      <c r="AB10" s="6">
        <v>4.62</v>
      </c>
      <c r="AC10" s="4"/>
      <c r="AD10" s="4"/>
      <c r="AE10" s="4"/>
      <c r="AI10" s="6">
        <v>4.3099999999999996</v>
      </c>
      <c r="AJ10" s="6">
        <v>3.79</v>
      </c>
      <c r="AQ10" s="6">
        <v>2.5499999999999998</v>
      </c>
      <c r="AR10" s="6">
        <v>13.02</v>
      </c>
    </row>
    <row r="11" spans="1:47" s="6" customFormat="1" x14ac:dyDescent="0.2">
      <c r="A11" s="4"/>
      <c r="B11" s="5"/>
      <c r="C11" s="4">
        <v>3.28</v>
      </c>
      <c r="D11" s="4">
        <v>6.27</v>
      </c>
      <c r="E11" s="4"/>
      <c r="F11" s="4"/>
      <c r="G11" s="4"/>
      <c r="I11" s="4"/>
      <c r="J11" s="5"/>
      <c r="K11" s="4">
        <v>0.31</v>
      </c>
      <c r="L11" s="4">
        <v>2.81</v>
      </c>
      <c r="M11" s="4"/>
      <c r="N11" s="4"/>
      <c r="O11" s="4"/>
      <c r="R11" s="5"/>
      <c r="S11" s="6">
        <v>2.82</v>
      </c>
      <c r="T11" s="6">
        <v>11.81</v>
      </c>
      <c r="U11" s="4"/>
      <c r="V11" s="4"/>
      <c r="W11" s="4"/>
      <c r="Z11" s="5"/>
      <c r="AA11" s="6">
        <v>1.91</v>
      </c>
      <c r="AB11" s="6">
        <v>5.44</v>
      </c>
      <c r="AC11" s="4"/>
      <c r="AD11" s="4"/>
      <c r="AE11" s="4"/>
      <c r="AI11" s="6">
        <v>3.79</v>
      </c>
      <c r="AJ11" s="6">
        <v>9.41</v>
      </c>
      <c r="AQ11" s="6">
        <v>0.5</v>
      </c>
      <c r="AR11" s="6">
        <v>4.67</v>
      </c>
    </row>
    <row r="12" spans="1:47" s="6" customFormat="1" x14ac:dyDescent="0.2">
      <c r="A12" s="4"/>
      <c r="B12" s="5"/>
      <c r="C12" s="4">
        <v>4.17</v>
      </c>
      <c r="D12" s="4">
        <v>2.37</v>
      </c>
      <c r="E12" s="4"/>
      <c r="F12" s="4"/>
      <c r="G12" s="4"/>
      <c r="I12" s="4"/>
      <c r="J12" s="5"/>
      <c r="K12" s="4">
        <v>0.12</v>
      </c>
      <c r="L12" s="4">
        <v>5.53</v>
      </c>
      <c r="M12" s="4"/>
      <c r="N12" s="4"/>
      <c r="O12" s="4"/>
      <c r="R12" s="5"/>
      <c r="S12" s="6">
        <v>4.1100000000000003</v>
      </c>
      <c r="T12" s="6">
        <v>6.43</v>
      </c>
      <c r="U12" s="4"/>
      <c r="V12" s="4"/>
      <c r="W12" s="4"/>
      <c r="Z12" s="5"/>
      <c r="AA12" s="6">
        <v>0.17</v>
      </c>
      <c r="AB12" s="6">
        <v>4.83</v>
      </c>
      <c r="AC12" s="4"/>
      <c r="AD12" s="4"/>
      <c r="AE12" s="4"/>
      <c r="AI12" s="6">
        <v>4.2699999999999996</v>
      </c>
      <c r="AJ12" s="6">
        <v>4.66</v>
      </c>
      <c r="AQ12" s="6">
        <v>0.18</v>
      </c>
      <c r="AR12" s="6">
        <v>3.32</v>
      </c>
    </row>
    <row r="13" spans="1:47" x14ac:dyDescent="0.2">
      <c r="A13" s="1" t="s">
        <v>14</v>
      </c>
      <c r="B13" s="2"/>
      <c r="C13" s="1">
        <v>5.52</v>
      </c>
      <c r="D13" s="1">
        <v>7.24</v>
      </c>
      <c r="I13" s="1" t="s">
        <v>23</v>
      </c>
      <c r="J13" s="2"/>
      <c r="K13" s="1">
        <v>0.11</v>
      </c>
      <c r="L13" s="1">
        <v>4.88</v>
      </c>
      <c r="M13" s="1"/>
      <c r="N13" s="1"/>
      <c r="O13" s="1"/>
      <c r="Q13" s="3" t="s">
        <v>19</v>
      </c>
      <c r="R13" s="2"/>
      <c r="S13" s="3">
        <v>4.3099999999999996</v>
      </c>
      <c r="T13" s="3">
        <v>7.5</v>
      </c>
      <c r="U13" s="1"/>
      <c r="V13" s="1"/>
      <c r="W13" s="1"/>
      <c r="Y13" s="3" t="s">
        <v>27</v>
      </c>
      <c r="Z13" s="2"/>
      <c r="AA13" s="3">
        <v>0.26</v>
      </c>
      <c r="AB13" s="3">
        <v>6.79</v>
      </c>
      <c r="AC13" s="1"/>
      <c r="AD13" s="1"/>
      <c r="AE13" s="1"/>
      <c r="AG13" s="3" t="s">
        <v>37</v>
      </c>
      <c r="AI13" s="3">
        <v>4.28</v>
      </c>
      <c r="AJ13" s="3">
        <v>2.3199999999999998</v>
      </c>
      <c r="AO13" s="3" t="s">
        <v>41</v>
      </c>
      <c r="AQ13" s="3">
        <v>0.15</v>
      </c>
      <c r="AR13" s="3">
        <v>5.12</v>
      </c>
    </row>
    <row r="14" spans="1:47" x14ac:dyDescent="0.2">
      <c r="B14" s="2"/>
      <c r="C14" s="1">
        <v>2.12</v>
      </c>
      <c r="D14" s="1">
        <v>5.26</v>
      </c>
      <c r="I14" s="1"/>
      <c r="J14" s="2"/>
      <c r="K14" s="1">
        <v>0.19</v>
      </c>
      <c r="L14" s="1">
        <v>4.93</v>
      </c>
      <c r="M14" s="1"/>
      <c r="N14" s="1"/>
      <c r="O14" s="1"/>
      <c r="R14" s="2"/>
      <c r="S14" s="3">
        <v>6.33</v>
      </c>
      <c r="T14" s="3">
        <v>6.91</v>
      </c>
      <c r="U14" s="1"/>
      <c r="V14" s="1"/>
      <c r="W14" s="1"/>
      <c r="Z14" s="2"/>
      <c r="AA14" s="3">
        <v>1.38</v>
      </c>
      <c r="AB14" s="3">
        <v>8.89</v>
      </c>
      <c r="AC14" s="1"/>
      <c r="AD14" s="1"/>
      <c r="AE14" s="1"/>
      <c r="AI14" s="3">
        <v>5.63</v>
      </c>
      <c r="AJ14" s="3">
        <v>2.33</v>
      </c>
      <c r="AQ14" s="3">
        <v>0.03</v>
      </c>
      <c r="AR14" s="3">
        <v>7.02</v>
      </c>
    </row>
    <row r="15" spans="1:47" x14ac:dyDescent="0.2">
      <c r="B15" s="2"/>
      <c r="C15" s="1">
        <v>4.49</v>
      </c>
      <c r="D15" s="1">
        <v>5.66</v>
      </c>
      <c r="I15" s="1"/>
      <c r="J15" s="2"/>
      <c r="K15" s="1">
        <v>1.32</v>
      </c>
      <c r="L15" s="1">
        <v>11.64</v>
      </c>
      <c r="M15" s="1"/>
      <c r="N15" s="1"/>
      <c r="O15" s="1"/>
      <c r="R15" s="2"/>
      <c r="S15" s="3">
        <v>7.24</v>
      </c>
      <c r="T15" s="3">
        <v>7.97</v>
      </c>
      <c r="U15" s="1"/>
      <c r="V15" s="1"/>
      <c r="W15" s="1"/>
      <c r="Z15" s="2"/>
      <c r="AA15" s="3">
        <v>0.49</v>
      </c>
      <c r="AB15" s="3">
        <v>4.41</v>
      </c>
      <c r="AC15" s="1"/>
      <c r="AD15" s="1"/>
      <c r="AE15" s="1"/>
      <c r="AI15" s="3">
        <v>5.94</v>
      </c>
      <c r="AJ15" s="3">
        <v>4.42</v>
      </c>
      <c r="AQ15" s="3">
        <v>0.13</v>
      </c>
      <c r="AR15" s="3">
        <v>6.93</v>
      </c>
    </row>
    <row r="16" spans="1:47" x14ac:dyDescent="0.2">
      <c r="B16" s="2"/>
      <c r="C16" s="1">
        <v>4.72</v>
      </c>
      <c r="D16" s="1">
        <v>6.71</v>
      </c>
      <c r="I16" s="1"/>
      <c r="J16" s="2"/>
      <c r="K16" s="1">
        <v>0.31</v>
      </c>
      <c r="L16" s="1">
        <v>10.78</v>
      </c>
      <c r="M16" s="1"/>
      <c r="N16" s="1"/>
      <c r="O16" s="1"/>
      <c r="R16" s="2"/>
      <c r="S16" s="3">
        <v>5.84</v>
      </c>
      <c r="T16" s="3">
        <v>6.67</v>
      </c>
      <c r="U16" s="1"/>
      <c r="V16" s="1"/>
      <c r="W16" s="1"/>
      <c r="Z16" s="2"/>
      <c r="AA16" s="3">
        <v>0.49</v>
      </c>
      <c r="AB16" s="3">
        <v>4.59</v>
      </c>
      <c r="AC16" s="1"/>
      <c r="AD16" s="1"/>
      <c r="AE16" s="1"/>
      <c r="AI16" s="3">
        <v>8.2899999999999991</v>
      </c>
      <c r="AJ16" s="3">
        <v>3.36</v>
      </c>
      <c r="AQ16" s="3">
        <v>0.08</v>
      </c>
      <c r="AR16" s="3">
        <v>9.07</v>
      </c>
    </row>
    <row r="17" spans="1:44" x14ac:dyDescent="0.2">
      <c r="B17" s="2"/>
      <c r="C17" s="1">
        <v>4.3499999999999996</v>
      </c>
      <c r="D17" s="1">
        <v>4.29</v>
      </c>
      <c r="I17" s="1"/>
      <c r="J17" s="2"/>
      <c r="K17" s="1">
        <v>0.22</v>
      </c>
      <c r="L17" s="1">
        <v>5.68</v>
      </c>
      <c r="M17" s="1"/>
      <c r="N17" s="1"/>
      <c r="O17" s="1"/>
      <c r="R17" s="2"/>
      <c r="S17" s="3">
        <v>4.37</v>
      </c>
      <c r="T17" s="3">
        <v>7.53</v>
      </c>
      <c r="U17" s="1"/>
      <c r="V17" s="1"/>
      <c r="W17" s="1"/>
      <c r="Z17" s="2"/>
      <c r="AA17" s="3">
        <v>3.32</v>
      </c>
      <c r="AB17" s="3">
        <v>2.64</v>
      </c>
      <c r="AC17" s="1"/>
      <c r="AD17" s="1"/>
      <c r="AE17" s="1"/>
      <c r="AI17" s="3">
        <v>0.46</v>
      </c>
      <c r="AJ17" s="3">
        <v>5.36</v>
      </c>
      <c r="AQ17" s="3">
        <v>1.21</v>
      </c>
      <c r="AR17" s="3">
        <v>2.4500000000000002</v>
      </c>
    </row>
    <row r="18" spans="1:44" s="6" customFormat="1" x14ac:dyDescent="0.2">
      <c r="A18" s="4" t="s">
        <v>7</v>
      </c>
      <c r="B18" s="5"/>
      <c r="C18" s="4">
        <v>4.74</v>
      </c>
      <c r="D18" s="4">
        <v>3.63</v>
      </c>
      <c r="E18" s="4"/>
      <c r="F18" s="4"/>
      <c r="G18" s="4"/>
      <c r="I18" s="4" t="s">
        <v>24</v>
      </c>
      <c r="J18" s="5"/>
      <c r="K18" s="4">
        <v>0.28999999999999998</v>
      </c>
      <c r="L18" s="4">
        <v>8.8800000000000008</v>
      </c>
      <c r="M18" s="4"/>
      <c r="N18" s="4"/>
      <c r="O18" s="4"/>
      <c r="Q18" s="6" t="s">
        <v>20</v>
      </c>
      <c r="R18" s="5"/>
      <c r="S18" s="6">
        <v>2.74</v>
      </c>
      <c r="T18" s="6">
        <v>4.46</v>
      </c>
      <c r="U18" s="4"/>
      <c r="V18" s="4"/>
      <c r="W18" s="4"/>
      <c r="Y18" s="6" t="s">
        <v>30</v>
      </c>
      <c r="Z18" s="5"/>
      <c r="AA18" s="6">
        <v>0.41</v>
      </c>
      <c r="AB18" s="6">
        <v>5.12</v>
      </c>
      <c r="AC18" s="4"/>
      <c r="AD18" s="4"/>
      <c r="AE18" s="4"/>
      <c r="AG18" s="6" t="s">
        <v>38</v>
      </c>
      <c r="AI18" s="6">
        <v>5.79</v>
      </c>
      <c r="AJ18" s="6">
        <v>6.51</v>
      </c>
      <c r="AO18" s="6" t="s">
        <v>42</v>
      </c>
      <c r="AQ18" s="6">
        <v>0.46</v>
      </c>
      <c r="AR18" s="6">
        <v>6.88</v>
      </c>
    </row>
    <row r="19" spans="1:44" s="6" customFormat="1" x14ac:dyDescent="0.2">
      <c r="A19" s="4"/>
      <c r="B19" s="5"/>
      <c r="C19" s="4">
        <v>7.02</v>
      </c>
      <c r="D19" s="4">
        <v>6.7</v>
      </c>
      <c r="E19" s="4"/>
      <c r="F19" s="4"/>
      <c r="G19" s="4"/>
      <c r="I19" s="4"/>
      <c r="J19" s="5"/>
      <c r="K19" s="4">
        <v>0.01</v>
      </c>
      <c r="L19" s="4">
        <v>10.58</v>
      </c>
      <c r="M19" s="4"/>
      <c r="N19" s="4"/>
      <c r="O19" s="4"/>
      <c r="R19" s="5"/>
      <c r="S19" s="6">
        <v>7.96</v>
      </c>
      <c r="T19" s="6">
        <v>10.01</v>
      </c>
      <c r="W19" s="4"/>
      <c r="Z19" s="5"/>
      <c r="AA19" s="6">
        <v>0.73</v>
      </c>
      <c r="AB19" s="6">
        <v>7</v>
      </c>
      <c r="AE19" s="4"/>
      <c r="AI19" s="6">
        <v>4.0999999999999996</v>
      </c>
      <c r="AJ19" s="6">
        <v>3.56</v>
      </c>
      <c r="AQ19" s="6">
        <v>0.04</v>
      </c>
      <c r="AR19" s="6">
        <v>4.66</v>
      </c>
    </row>
    <row r="20" spans="1:44" s="6" customFormat="1" x14ac:dyDescent="0.2">
      <c r="A20" s="4"/>
      <c r="B20" s="5"/>
      <c r="C20" s="4">
        <v>7.61</v>
      </c>
      <c r="D20" s="4">
        <v>10.42</v>
      </c>
      <c r="E20" s="4"/>
      <c r="F20" s="4"/>
      <c r="G20" s="4"/>
      <c r="I20" s="4"/>
      <c r="J20" s="5"/>
      <c r="K20" s="4">
        <v>0.3</v>
      </c>
      <c r="L20" s="4">
        <v>4.7699999999999996</v>
      </c>
      <c r="M20" s="4"/>
      <c r="N20" s="4"/>
      <c r="O20" s="4"/>
      <c r="R20" s="5"/>
      <c r="S20" s="6">
        <v>5.21</v>
      </c>
      <c r="T20" s="6">
        <v>7.61</v>
      </c>
      <c r="W20" s="4"/>
      <c r="Z20" s="5"/>
      <c r="AA20" s="6">
        <v>2.29</v>
      </c>
      <c r="AB20" s="6">
        <v>9.9700000000000006</v>
      </c>
      <c r="AE20" s="4"/>
      <c r="AI20" s="6">
        <v>6.79</v>
      </c>
      <c r="AJ20" s="6">
        <v>6.52</v>
      </c>
      <c r="AQ20" s="6">
        <v>0.19</v>
      </c>
      <c r="AR20" s="6">
        <v>6.84</v>
      </c>
    </row>
    <row r="21" spans="1:44" s="6" customFormat="1" x14ac:dyDescent="0.2">
      <c r="A21" s="4"/>
      <c r="B21" s="5"/>
      <c r="C21" s="4">
        <v>5.44</v>
      </c>
      <c r="D21" s="4">
        <v>5.63</v>
      </c>
      <c r="E21" s="4"/>
      <c r="F21" s="4"/>
      <c r="G21" s="4"/>
      <c r="I21" s="4"/>
      <c r="J21" s="5"/>
      <c r="K21" s="4">
        <v>1.04</v>
      </c>
      <c r="L21" s="4">
        <v>7.54</v>
      </c>
      <c r="M21" s="4"/>
      <c r="N21" s="4"/>
      <c r="O21" s="4"/>
      <c r="R21" s="5"/>
      <c r="S21" s="6">
        <v>5</v>
      </c>
      <c r="T21" s="6">
        <v>5.82</v>
      </c>
      <c r="W21" s="4"/>
      <c r="Z21" s="5"/>
      <c r="AA21" s="6">
        <v>0.79</v>
      </c>
      <c r="AB21" s="6">
        <v>4.29</v>
      </c>
      <c r="AE21" s="4"/>
      <c r="AI21" s="6">
        <v>6.42</v>
      </c>
      <c r="AJ21" s="6">
        <v>7.19</v>
      </c>
      <c r="AQ21" s="6">
        <v>0.68</v>
      </c>
      <c r="AR21" s="6">
        <v>6.91</v>
      </c>
    </row>
    <row r="22" spans="1:44" s="6" customFormat="1" x14ac:dyDescent="0.2">
      <c r="A22" s="4"/>
      <c r="B22" s="5"/>
      <c r="C22" s="4">
        <v>3.21</v>
      </c>
      <c r="D22" s="4">
        <v>6.37</v>
      </c>
      <c r="E22" s="4"/>
      <c r="F22" s="4"/>
      <c r="G22" s="4"/>
      <c r="I22" s="4"/>
      <c r="J22" s="5"/>
      <c r="K22" s="4">
        <v>0.36</v>
      </c>
      <c r="L22" s="4">
        <v>1.86</v>
      </c>
      <c r="M22" s="4"/>
      <c r="N22" s="4"/>
      <c r="O22" s="4"/>
      <c r="R22" s="5"/>
      <c r="S22" s="6">
        <v>4.18</v>
      </c>
      <c r="T22" s="6">
        <v>5.49</v>
      </c>
      <c r="W22" s="4"/>
      <c r="Z22" s="5"/>
      <c r="AA22" s="6">
        <v>1.28</v>
      </c>
      <c r="AB22" s="6">
        <v>7.84</v>
      </c>
      <c r="AE22" s="4"/>
      <c r="AI22" s="6">
        <v>4.99</v>
      </c>
      <c r="AJ22" s="6">
        <v>4.83</v>
      </c>
      <c r="AQ22" s="6">
        <v>0.62</v>
      </c>
      <c r="AR22" s="6">
        <v>3.37</v>
      </c>
    </row>
    <row r="23" spans="1:44" x14ac:dyDescent="0.2">
      <c r="A23" s="1" t="s">
        <v>9</v>
      </c>
      <c r="B23" s="2"/>
      <c r="C23" s="1">
        <v>3.27</v>
      </c>
      <c r="D23" s="1">
        <v>5.76</v>
      </c>
      <c r="I23" s="1" t="s">
        <v>14</v>
      </c>
      <c r="J23" s="2"/>
      <c r="K23" s="1">
        <v>1.02</v>
      </c>
      <c r="L23" s="1">
        <v>6.8</v>
      </c>
      <c r="M23" s="1"/>
      <c r="N23" s="1"/>
      <c r="O23" s="1"/>
      <c r="Q23" s="3" t="s">
        <v>10</v>
      </c>
      <c r="R23" s="2"/>
      <c r="S23" s="3">
        <v>7.59</v>
      </c>
      <c r="T23" s="3">
        <v>11.84</v>
      </c>
      <c r="W23" s="1"/>
      <c r="Y23" s="3" t="s">
        <v>31</v>
      </c>
      <c r="AA23" s="3">
        <v>0.22</v>
      </c>
      <c r="AB23" s="3">
        <v>2.08</v>
      </c>
      <c r="AG23" s="3" t="s">
        <v>28</v>
      </c>
      <c r="AI23" s="3">
        <v>1.35</v>
      </c>
      <c r="AJ23" s="3">
        <v>5.4</v>
      </c>
      <c r="AO23" s="3" t="s">
        <v>33</v>
      </c>
      <c r="AQ23" s="3">
        <v>0.17</v>
      </c>
      <c r="AR23" s="3">
        <v>7.88</v>
      </c>
    </row>
    <row r="24" spans="1:44" x14ac:dyDescent="0.2">
      <c r="B24" s="2"/>
      <c r="C24" s="1">
        <v>5.53</v>
      </c>
      <c r="D24" s="1">
        <v>6.05</v>
      </c>
      <c r="J24" s="2"/>
      <c r="K24" s="1">
        <v>0.28000000000000003</v>
      </c>
      <c r="L24" s="1">
        <v>5.43</v>
      </c>
      <c r="M24" s="1"/>
      <c r="N24" s="1"/>
      <c r="O24" s="1"/>
      <c r="R24" s="2"/>
      <c r="S24" s="3">
        <v>8.7799999999999994</v>
      </c>
      <c r="T24" s="3">
        <v>7.83</v>
      </c>
      <c r="AA24" s="3">
        <v>0.16</v>
      </c>
      <c r="AB24" s="3">
        <v>7</v>
      </c>
      <c r="AI24" s="3">
        <v>3.64</v>
      </c>
      <c r="AJ24" s="3">
        <v>7.96</v>
      </c>
      <c r="AQ24" s="3">
        <v>0.59</v>
      </c>
      <c r="AR24" s="3">
        <v>2.46</v>
      </c>
    </row>
    <row r="25" spans="1:44" x14ac:dyDescent="0.2">
      <c r="B25" s="2"/>
      <c r="C25" s="1">
        <v>5.23</v>
      </c>
      <c r="D25" s="1">
        <v>8.25</v>
      </c>
      <c r="I25" s="1"/>
      <c r="J25" s="2"/>
      <c r="K25" s="1">
        <v>1.62</v>
      </c>
      <c r="L25" s="1">
        <v>7.53</v>
      </c>
      <c r="M25" s="1"/>
      <c r="N25" s="1"/>
      <c r="O25" s="1"/>
      <c r="R25" s="2"/>
      <c r="S25" s="3">
        <v>8.75</v>
      </c>
      <c r="T25" s="3">
        <v>7.47</v>
      </c>
      <c r="AA25" s="3">
        <v>0.45</v>
      </c>
      <c r="AB25" s="3">
        <v>8.93</v>
      </c>
      <c r="AI25" s="3">
        <v>6.51</v>
      </c>
      <c r="AJ25" s="3">
        <v>5.28</v>
      </c>
      <c r="AQ25" s="3">
        <v>0.04</v>
      </c>
      <c r="AR25" s="3">
        <v>7.82</v>
      </c>
    </row>
    <row r="26" spans="1:44" x14ac:dyDescent="0.2">
      <c r="B26" s="2"/>
      <c r="C26" s="1">
        <v>6.26</v>
      </c>
      <c r="D26" s="1">
        <v>8.01</v>
      </c>
      <c r="I26" s="1"/>
      <c r="J26" s="2"/>
      <c r="K26" s="1">
        <v>3.56</v>
      </c>
      <c r="L26" s="1">
        <v>10.33</v>
      </c>
      <c r="M26" s="1"/>
      <c r="N26" s="1"/>
      <c r="O26" s="1"/>
      <c r="R26" s="2"/>
      <c r="S26" s="3">
        <v>7.99</v>
      </c>
      <c r="T26" s="3">
        <v>7.22</v>
      </c>
      <c r="AA26" s="3">
        <v>0.64</v>
      </c>
      <c r="AB26" s="3">
        <v>4.71</v>
      </c>
      <c r="AI26" s="3">
        <v>2.3199999999999998</v>
      </c>
      <c r="AJ26" s="3">
        <v>4.16</v>
      </c>
      <c r="AQ26" s="3">
        <v>0.39</v>
      </c>
      <c r="AR26" s="3">
        <v>8.91</v>
      </c>
    </row>
    <row r="27" spans="1:44" x14ac:dyDescent="0.2">
      <c r="B27" s="2"/>
      <c r="C27" s="1">
        <v>4.2699999999999996</v>
      </c>
      <c r="D27" s="1">
        <v>7.32</v>
      </c>
      <c r="I27" s="1"/>
      <c r="J27" s="2"/>
      <c r="K27" s="1">
        <v>1.35</v>
      </c>
      <c r="L27" s="1">
        <v>7.36</v>
      </c>
      <c r="M27" s="1"/>
      <c r="N27" s="1"/>
      <c r="O27" s="1"/>
      <c r="R27" s="2"/>
      <c r="S27" s="3">
        <v>6</v>
      </c>
      <c r="T27" s="3">
        <v>4.58</v>
      </c>
      <c r="AA27" s="3">
        <v>1.26</v>
      </c>
      <c r="AB27" s="3">
        <v>4.8499999999999996</v>
      </c>
      <c r="AI27" s="3">
        <v>3.47</v>
      </c>
      <c r="AJ27" s="3">
        <v>6.04</v>
      </c>
      <c r="AQ27" s="3">
        <v>1</v>
      </c>
      <c r="AR27" s="3">
        <v>6.99</v>
      </c>
    </row>
    <row r="28" spans="1:44" s="6" customFormat="1" x14ac:dyDescent="0.2">
      <c r="A28" s="4"/>
      <c r="B28" s="4"/>
      <c r="C28" s="4"/>
      <c r="D28" s="4"/>
      <c r="E28" s="4"/>
      <c r="F28" s="4"/>
      <c r="G28" s="4"/>
      <c r="I28" s="4" t="s">
        <v>15</v>
      </c>
      <c r="K28" s="6">
        <v>0.04</v>
      </c>
      <c r="L28" s="6">
        <v>7.7</v>
      </c>
      <c r="Q28" s="6" t="s">
        <v>11</v>
      </c>
      <c r="S28" s="6">
        <v>5.14</v>
      </c>
      <c r="T28" s="6">
        <v>7.63</v>
      </c>
      <c r="Y28" s="6" t="s">
        <v>32</v>
      </c>
      <c r="AA28" s="6">
        <v>1.34</v>
      </c>
      <c r="AB28" s="6">
        <v>6.77</v>
      </c>
      <c r="AG28" s="6" t="s">
        <v>29</v>
      </c>
      <c r="AI28" s="6">
        <v>3.49</v>
      </c>
      <c r="AJ28" s="6">
        <v>6.1</v>
      </c>
      <c r="AO28" s="6" t="s">
        <v>34</v>
      </c>
      <c r="AQ28" s="6">
        <v>0.22</v>
      </c>
      <c r="AR28" s="6">
        <v>9.99</v>
      </c>
    </row>
    <row r="29" spans="1:44" s="6" customFormat="1" x14ac:dyDescent="0.2">
      <c r="A29" s="4"/>
      <c r="B29" s="4"/>
      <c r="C29" s="4"/>
      <c r="D29" s="4"/>
      <c r="E29" s="4"/>
      <c r="F29" s="4"/>
      <c r="G29" s="4"/>
      <c r="K29" s="6">
        <v>1.38</v>
      </c>
      <c r="L29" s="6">
        <v>4.88</v>
      </c>
      <c r="S29" s="6">
        <v>5.21</v>
      </c>
      <c r="T29" s="6">
        <v>6.32</v>
      </c>
      <c r="AA29" s="6">
        <v>0.28000000000000003</v>
      </c>
      <c r="AB29" s="6">
        <v>5</v>
      </c>
      <c r="AI29" s="6">
        <v>6.47</v>
      </c>
      <c r="AJ29" s="6">
        <v>7.59</v>
      </c>
      <c r="AQ29" s="6">
        <v>0.77</v>
      </c>
      <c r="AR29" s="6">
        <v>4.8099999999999996</v>
      </c>
    </row>
    <row r="30" spans="1:44" s="6" customFormat="1" x14ac:dyDescent="0.2">
      <c r="A30" s="4"/>
      <c r="B30" s="4"/>
      <c r="C30" s="4"/>
      <c r="D30" s="4"/>
      <c r="E30" s="4"/>
      <c r="F30" s="4"/>
      <c r="G30" s="4"/>
      <c r="K30" s="6">
        <v>0.13</v>
      </c>
      <c r="L30" s="6">
        <v>7.94</v>
      </c>
      <c r="S30" s="6">
        <v>3.79</v>
      </c>
      <c r="T30" s="6">
        <v>7.14</v>
      </c>
      <c r="AA30" s="6">
        <v>0.19</v>
      </c>
      <c r="AB30" s="6">
        <v>9.25</v>
      </c>
      <c r="AI30" s="6">
        <v>2.39</v>
      </c>
      <c r="AJ30" s="6">
        <v>8.91</v>
      </c>
      <c r="AQ30" s="6">
        <v>0.09</v>
      </c>
      <c r="AR30" s="6">
        <v>12.68</v>
      </c>
    </row>
    <row r="31" spans="1:44" s="6" customFormat="1" x14ac:dyDescent="0.2">
      <c r="A31" s="4"/>
      <c r="B31" s="4"/>
      <c r="C31" s="4"/>
      <c r="D31" s="4"/>
      <c r="E31" s="4"/>
      <c r="F31" s="4"/>
      <c r="G31" s="4"/>
      <c r="I31" s="4"/>
      <c r="J31" s="4"/>
      <c r="K31" s="4">
        <v>0.62</v>
      </c>
      <c r="L31" s="4">
        <v>6.41</v>
      </c>
      <c r="M31" s="4"/>
      <c r="N31" s="4"/>
      <c r="O31" s="4"/>
      <c r="Q31" s="4"/>
      <c r="R31" s="4"/>
      <c r="S31" s="4">
        <v>6.3</v>
      </c>
      <c r="T31" s="4">
        <v>8.34</v>
      </c>
      <c r="U31" s="4"/>
      <c r="V31" s="4"/>
      <c r="W31" s="4"/>
      <c r="Y31" s="4"/>
      <c r="Z31" s="4"/>
      <c r="AA31" s="4">
        <v>0.19</v>
      </c>
      <c r="AB31" s="4">
        <v>6.15</v>
      </c>
      <c r="AC31" s="4"/>
      <c r="AD31" s="4"/>
      <c r="AE31" s="4"/>
      <c r="AI31" s="6">
        <v>2.99</v>
      </c>
      <c r="AJ31" s="6">
        <v>8.61</v>
      </c>
      <c r="AQ31" s="6">
        <v>0.12</v>
      </c>
      <c r="AR31" s="6">
        <v>4.37</v>
      </c>
    </row>
    <row r="32" spans="1:44" s="6" customFormat="1" x14ac:dyDescent="0.2">
      <c r="A32" s="4"/>
      <c r="B32" s="5"/>
      <c r="C32" s="4"/>
      <c r="D32" s="4"/>
      <c r="E32" s="4"/>
      <c r="F32" s="4"/>
      <c r="G32" s="4"/>
      <c r="J32" s="5"/>
      <c r="K32" s="6">
        <v>0.37</v>
      </c>
      <c r="L32" s="6">
        <v>10.16</v>
      </c>
      <c r="M32" s="4"/>
      <c r="N32" s="4"/>
      <c r="O32" s="4"/>
      <c r="R32" s="5"/>
      <c r="S32" s="6">
        <v>3.83</v>
      </c>
      <c r="T32" s="6">
        <v>5.05</v>
      </c>
      <c r="U32" s="4"/>
      <c r="V32" s="4"/>
      <c r="W32" s="4"/>
      <c r="Z32" s="5"/>
      <c r="AA32" s="6">
        <v>1.67</v>
      </c>
      <c r="AB32" s="6">
        <v>5.62</v>
      </c>
      <c r="AC32" s="4"/>
      <c r="AD32" s="4"/>
      <c r="AE32" s="4"/>
      <c r="AI32" s="6">
        <v>4.63</v>
      </c>
      <c r="AJ32" s="6">
        <v>9</v>
      </c>
      <c r="AQ32" s="6">
        <v>0.96</v>
      </c>
      <c r="AR32" s="6">
        <v>8.14</v>
      </c>
    </row>
    <row r="33" spans="1:31" x14ac:dyDescent="0.2">
      <c r="A33" s="3"/>
      <c r="B33" s="2"/>
      <c r="J33" s="2"/>
      <c r="M33" s="1"/>
      <c r="N33" s="1"/>
      <c r="O33" s="1"/>
      <c r="R33" s="2"/>
      <c r="U33" s="1"/>
      <c r="V33" s="1"/>
      <c r="W33" s="1"/>
      <c r="Z33" s="2"/>
      <c r="AC33" s="1"/>
      <c r="AD33" s="1"/>
      <c r="AE33" s="1"/>
    </row>
    <row r="34" spans="1:31" x14ac:dyDescent="0.2">
      <c r="A34" s="3"/>
      <c r="B34" s="2"/>
      <c r="J34" s="2"/>
      <c r="M34" s="1"/>
      <c r="N34" s="1"/>
      <c r="O34" s="1"/>
      <c r="R34" s="2"/>
      <c r="U34" s="1"/>
      <c r="V34" s="1"/>
      <c r="W34" s="1"/>
      <c r="Z34" s="2"/>
      <c r="AC34" s="1"/>
      <c r="AD34" s="1"/>
      <c r="AE34" s="1"/>
    </row>
    <row r="35" spans="1:31" x14ac:dyDescent="0.2">
      <c r="A35" s="3"/>
      <c r="B35" s="2"/>
      <c r="J35" s="2"/>
      <c r="M35" s="1"/>
      <c r="N35" s="1"/>
      <c r="O35" s="1"/>
      <c r="R35" s="2"/>
      <c r="U35" s="1"/>
      <c r="V35" s="1"/>
      <c r="W35" s="1"/>
      <c r="Z35" s="2"/>
      <c r="AC35" s="1"/>
      <c r="AD35" s="1"/>
      <c r="AE35" s="1"/>
    </row>
    <row r="36" spans="1:31" x14ac:dyDescent="0.2">
      <c r="A36" s="3"/>
      <c r="B36" s="2"/>
      <c r="J36" s="2"/>
      <c r="M36" s="1"/>
      <c r="N36" s="1"/>
      <c r="O36" s="1"/>
      <c r="R36" s="2"/>
      <c r="U36" s="1"/>
      <c r="V36" s="1"/>
      <c r="W36" s="1"/>
      <c r="Z36" s="2"/>
      <c r="AC36" s="1"/>
      <c r="AD36" s="1"/>
      <c r="AE36" s="1"/>
    </row>
    <row r="37" spans="1:31" x14ac:dyDescent="0.2">
      <c r="B37" s="2"/>
      <c r="J37" s="2"/>
      <c r="M37" s="1"/>
      <c r="N37" s="1"/>
      <c r="O37" s="1"/>
      <c r="R37" s="2"/>
      <c r="U37" s="1"/>
      <c r="V37" s="1"/>
      <c r="W37" s="1"/>
      <c r="Z37" s="2"/>
      <c r="AC37" s="1"/>
      <c r="AD37" s="1"/>
      <c r="AE37" s="1"/>
    </row>
    <row r="38" spans="1:31" x14ac:dyDescent="0.2">
      <c r="A38" s="3"/>
      <c r="B38" s="2"/>
      <c r="J38" s="2"/>
      <c r="M38" s="1"/>
      <c r="N38" s="1"/>
      <c r="O38" s="1"/>
      <c r="R38" s="2"/>
      <c r="U38" s="1"/>
      <c r="V38" s="1"/>
      <c r="W38" s="1"/>
      <c r="Z38" s="2"/>
      <c r="AC38" s="1"/>
      <c r="AD38" s="1"/>
      <c r="AE38" s="1"/>
    </row>
    <row r="39" spans="1:31" x14ac:dyDescent="0.2">
      <c r="A39" s="3"/>
      <c r="B39" s="2"/>
      <c r="J39" s="2"/>
      <c r="M39" s="1"/>
      <c r="N39" s="1"/>
      <c r="O39" s="1"/>
      <c r="R39" s="2"/>
      <c r="U39" s="1"/>
      <c r="V39" s="1"/>
      <c r="W39" s="1"/>
      <c r="Z39" s="2"/>
      <c r="AC39" s="1"/>
      <c r="AD39" s="1"/>
      <c r="AE39" s="1"/>
    </row>
    <row r="40" spans="1:31" x14ac:dyDescent="0.2">
      <c r="A40" s="3"/>
      <c r="B40" s="2"/>
      <c r="J40" s="2"/>
      <c r="M40" s="1"/>
      <c r="N40" s="1"/>
      <c r="O40" s="1"/>
      <c r="R40" s="2"/>
      <c r="U40" s="1"/>
      <c r="V40" s="1"/>
      <c r="W40" s="1"/>
      <c r="Z40" s="2"/>
      <c r="AC40" s="1"/>
      <c r="AD40" s="1"/>
      <c r="AE40" s="1"/>
    </row>
    <row r="41" spans="1:31" x14ac:dyDescent="0.2">
      <c r="B41" s="2"/>
      <c r="J41" s="2"/>
      <c r="M41" s="1"/>
      <c r="N41" s="1"/>
      <c r="O41" s="1"/>
      <c r="R41" s="2"/>
      <c r="U41" s="1"/>
      <c r="V41" s="1"/>
      <c r="W41" s="1"/>
      <c r="Z41" s="2"/>
      <c r="AC41" s="1"/>
      <c r="AD41" s="1"/>
      <c r="AE41" s="1"/>
    </row>
    <row r="42" spans="1:31" x14ac:dyDescent="0.2">
      <c r="B42" s="2"/>
      <c r="J42" s="2"/>
      <c r="M42" s="1"/>
      <c r="N42" s="1"/>
      <c r="O42" s="1"/>
      <c r="R42" s="2"/>
      <c r="U42" s="1"/>
      <c r="V42" s="1"/>
      <c r="W42" s="1"/>
      <c r="Z42" s="2"/>
      <c r="AC42" s="1"/>
      <c r="AD42" s="1"/>
      <c r="AE42" s="1"/>
    </row>
    <row r="43" spans="1:31" x14ac:dyDescent="0.2">
      <c r="A43" s="3"/>
      <c r="B43" s="2"/>
      <c r="J43" s="2"/>
      <c r="M43" s="1"/>
      <c r="N43" s="1"/>
      <c r="O43" s="1"/>
      <c r="R43" s="2"/>
      <c r="U43" s="1"/>
      <c r="V43" s="1"/>
      <c r="W43" s="1"/>
      <c r="Z43" s="2"/>
      <c r="AC43" s="1"/>
      <c r="AD43" s="1"/>
      <c r="AE43" s="1"/>
    </row>
    <row r="44" spans="1:31" x14ac:dyDescent="0.2">
      <c r="A44" s="3"/>
      <c r="B44" s="2"/>
      <c r="J44" s="2"/>
      <c r="M44" s="1"/>
      <c r="N44" s="1"/>
      <c r="O44" s="1"/>
      <c r="R44" s="2"/>
      <c r="U44" s="1"/>
      <c r="V44" s="1"/>
      <c r="W44" s="1"/>
      <c r="Z44" s="2"/>
      <c r="AC44" s="1"/>
      <c r="AD44" s="1"/>
      <c r="AE44" s="1"/>
    </row>
    <row r="45" spans="1:31" x14ac:dyDescent="0.2">
      <c r="B45" s="2"/>
      <c r="J45" s="2"/>
      <c r="M45" s="1"/>
      <c r="N45" s="1"/>
      <c r="O45" s="1"/>
      <c r="R45" s="2"/>
      <c r="U45" s="1"/>
      <c r="V45" s="1"/>
      <c r="W45" s="1"/>
      <c r="Z45" s="2"/>
      <c r="AC45" s="1"/>
      <c r="AD45" s="1"/>
      <c r="AE45" s="1"/>
    </row>
    <row r="46" spans="1:31" x14ac:dyDescent="0.2">
      <c r="B46" s="2"/>
      <c r="J46" s="2"/>
      <c r="M46" s="1"/>
      <c r="N46" s="1"/>
      <c r="O46" s="1"/>
      <c r="R46" s="2"/>
      <c r="U46" s="1"/>
      <c r="V46" s="1"/>
      <c r="W46" s="1"/>
      <c r="Z46" s="2"/>
      <c r="AC46" s="1"/>
      <c r="AD46" s="1"/>
      <c r="AE46" s="1"/>
    </row>
    <row r="47" spans="1:31" x14ac:dyDescent="0.2">
      <c r="B47" s="2"/>
      <c r="J47" s="2"/>
      <c r="M47" s="1"/>
      <c r="N47" s="1"/>
      <c r="O47" s="1"/>
      <c r="R47" s="2"/>
      <c r="U47" s="1"/>
      <c r="V47" s="1"/>
      <c r="W47" s="1"/>
      <c r="Z47" s="2"/>
      <c r="AC47" s="1"/>
      <c r="AD47" s="1"/>
      <c r="AE47" s="1"/>
    </row>
    <row r="48" spans="1:31" x14ac:dyDescent="0.2">
      <c r="A48" s="3"/>
      <c r="B48" s="2"/>
      <c r="J48" s="2"/>
      <c r="M48" s="1"/>
      <c r="N48" s="1"/>
      <c r="O48" s="1"/>
      <c r="R48" s="2"/>
      <c r="Z48" s="2"/>
    </row>
    <row r="49" spans="2:26" x14ac:dyDescent="0.2">
      <c r="B49" s="2"/>
      <c r="J49" s="2"/>
      <c r="M49" s="1"/>
      <c r="N49" s="1"/>
      <c r="O49" s="1"/>
      <c r="R49" s="2"/>
      <c r="Z49" s="2"/>
    </row>
    <row r="50" spans="2:26" x14ac:dyDescent="0.2">
      <c r="B50" s="2"/>
      <c r="J50" s="2"/>
      <c r="M50" s="1"/>
      <c r="N50" s="1"/>
      <c r="O50" s="1"/>
      <c r="R50" s="2"/>
      <c r="Z50" s="2"/>
    </row>
    <row r="51" spans="2:26" x14ac:dyDescent="0.2">
      <c r="B51" s="2"/>
      <c r="J51" s="2"/>
      <c r="M51" s="1"/>
      <c r="N51" s="1"/>
      <c r="O51" s="1"/>
      <c r="R51" s="2"/>
      <c r="Z51" s="2"/>
    </row>
    <row r="52" spans="2:26" x14ac:dyDescent="0.2">
      <c r="B52" s="2"/>
      <c r="J52" s="2"/>
      <c r="M52" s="1"/>
      <c r="N52" s="1"/>
      <c r="O52" s="1"/>
    </row>
    <row r="53" spans="2:26" x14ac:dyDescent="0.2">
      <c r="B53" s="2"/>
      <c r="J53" s="2"/>
    </row>
    <row r="54" spans="2:26" x14ac:dyDescent="0.2">
      <c r="B54" s="2"/>
      <c r="J54" s="2"/>
    </row>
    <row r="55" spans="2:26" x14ac:dyDescent="0.2">
      <c r="B55" s="2"/>
      <c r="J55" s="2"/>
    </row>
    <row r="56" spans="2:26" x14ac:dyDescent="0.2">
      <c r="B56" s="2"/>
      <c r="J56" s="2"/>
    </row>
    <row r="57" spans="2:26" x14ac:dyDescent="0.2">
      <c r="B57" s="2"/>
    </row>
    <row r="58" spans="2:26" x14ac:dyDescent="0.2">
      <c r="B58" s="2"/>
      <c r="M58" s="1"/>
    </row>
    <row r="59" spans="2:26" x14ac:dyDescent="0.2">
      <c r="B59" s="2"/>
      <c r="M59" s="1"/>
    </row>
    <row r="60" spans="2:26" x14ac:dyDescent="0.2">
      <c r="B60" s="2"/>
      <c r="M60" s="1"/>
    </row>
    <row r="61" spans="2:26" x14ac:dyDescent="0.2">
      <c r="B61" s="2"/>
      <c r="M61" s="1"/>
    </row>
    <row r="62" spans="2:26" x14ac:dyDescent="0.2">
      <c r="B62" s="2"/>
      <c r="M62" s="1"/>
    </row>
    <row r="63" spans="2:26" x14ac:dyDescent="0.2">
      <c r="B63" s="2"/>
      <c r="M63" s="1"/>
    </row>
    <row r="64" spans="2:26" x14ac:dyDescent="0.2">
      <c r="B64" s="2"/>
      <c r="M64" s="1"/>
    </row>
    <row r="65" spans="2:13" x14ac:dyDescent="0.2">
      <c r="B65" s="2"/>
      <c r="M65" s="1"/>
    </row>
    <row r="66" spans="2:13" x14ac:dyDescent="0.2">
      <c r="B66" s="2"/>
      <c r="M66" s="1"/>
    </row>
    <row r="67" spans="2:13" x14ac:dyDescent="0.2">
      <c r="B67" s="2"/>
      <c r="M67" s="1"/>
    </row>
    <row r="68" spans="2:13" x14ac:dyDescent="0.2">
      <c r="B68" s="2"/>
      <c r="M68" s="1"/>
    </row>
    <row r="69" spans="2:13" x14ac:dyDescent="0.2">
      <c r="B69" s="2"/>
      <c r="M69" s="1"/>
    </row>
    <row r="70" spans="2:13" x14ac:dyDescent="0.2">
      <c r="B70" s="2"/>
      <c r="M70" s="1"/>
    </row>
    <row r="71" spans="2:13" x14ac:dyDescent="0.2">
      <c r="B71" s="2"/>
      <c r="M71" s="1"/>
    </row>
    <row r="72" spans="2:13" x14ac:dyDescent="0.2">
      <c r="B72" s="2"/>
      <c r="M72" s="1"/>
    </row>
    <row r="73" spans="2:13" x14ac:dyDescent="0.2">
      <c r="B73" s="2"/>
      <c r="M73" s="1"/>
    </row>
    <row r="74" spans="2:13" x14ac:dyDescent="0.2">
      <c r="B74" s="2"/>
      <c r="M74" s="1"/>
    </row>
    <row r="75" spans="2:13" x14ac:dyDescent="0.2">
      <c r="B75" s="2"/>
      <c r="M75" s="1"/>
    </row>
    <row r="76" spans="2:13" x14ac:dyDescent="0.2">
      <c r="B76" s="2"/>
      <c r="M76" s="1"/>
    </row>
    <row r="77" spans="2:13" x14ac:dyDescent="0.2">
      <c r="B77" s="2"/>
      <c r="M77" s="1"/>
    </row>
    <row r="78" spans="2:13" x14ac:dyDescent="0.2">
      <c r="B78" s="2"/>
      <c r="M78" s="1"/>
    </row>
    <row r="79" spans="2:13" x14ac:dyDescent="0.2">
      <c r="B79" s="2"/>
      <c r="M79" s="1"/>
    </row>
    <row r="80" spans="2:13" x14ac:dyDescent="0.2">
      <c r="B80" s="2"/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  <row r="92" spans="13:13" x14ac:dyDescent="0.2">
      <c r="M92" s="1"/>
    </row>
  </sheetData>
  <mergeCells count="6">
    <mergeCell ref="AO1:AU1"/>
    <mergeCell ref="A1:G1"/>
    <mergeCell ref="I1:O1"/>
    <mergeCell ref="Q1:W1"/>
    <mergeCell ref="Y1:AE1"/>
    <mergeCell ref="AG1:AM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1848-8F70-3141-958F-80FAD4935E04}">
  <dimension ref="A1:AU32"/>
  <sheetViews>
    <sheetView workbookViewId="0">
      <selection activeCell="K38" sqref="K38"/>
    </sheetView>
  </sheetViews>
  <sheetFormatPr defaultColWidth="11" defaultRowHeight="15.75" x14ac:dyDescent="0.25"/>
  <sheetData>
    <row r="1" spans="1:47" x14ac:dyDescent="0.25">
      <c r="A1" s="54" t="s">
        <v>162</v>
      </c>
      <c r="B1" s="54"/>
      <c r="C1" s="54"/>
      <c r="D1" s="54"/>
      <c r="E1" s="54"/>
      <c r="F1" s="54"/>
      <c r="G1" s="54"/>
      <c r="H1" s="3"/>
      <c r="I1" s="54" t="s">
        <v>163</v>
      </c>
      <c r="J1" s="54"/>
      <c r="K1" s="54"/>
      <c r="L1" s="54"/>
      <c r="M1" s="54"/>
      <c r="N1" s="54"/>
      <c r="O1" s="54"/>
      <c r="P1" s="3"/>
      <c r="Q1" s="54" t="s">
        <v>164</v>
      </c>
      <c r="R1" s="54"/>
      <c r="S1" s="54"/>
      <c r="T1" s="54"/>
      <c r="U1" s="54"/>
      <c r="V1" s="54"/>
      <c r="W1" s="54"/>
      <c r="X1" s="3"/>
      <c r="Y1" s="54" t="s">
        <v>165</v>
      </c>
      <c r="Z1" s="54"/>
      <c r="AA1" s="54"/>
      <c r="AB1" s="54"/>
      <c r="AC1" s="54"/>
      <c r="AD1" s="54"/>
      <c r="AE1" s="54"/>
      <c r="AF1" s="3"/>
      <c r="AG1" s="54" t="s">
        <v>166</v>
      </c>
      <c r="AH1" s="54"/>
      <c r="AI1" s="54"/>
      <c r="AJ1" s="54"/>
      <c r="AK1" s="54"/>
      <c r="AL1" s="54"/>
      <c r="AM1" s="54"/>
      <c r="AN1" s="3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/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3"/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3"/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3"/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3"/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5">
      <c r="A3" s="1" t="s">
        <v>12</v>
      </c>
      <c r="B3" s="2">
        <v>45348</v>
      </c>
      <c r="C3" s="1">
        <v>0.48</v>
      </c>
      <c r="D3" s="1">
        <v>4.37</v>
      </c>
      <c r="E3" s="1">
        <f>AVERAGE(C3:C7)</f>
        <v>0.378</v>
      </c>
      <c r="F3" s="1">
        <f>AVERAGE(D3:D7)</f>
        <v>6.4239999999999995</v>
      </c>
      <c r="G3" s="1">
        <f>F3/E3</f>
        <v>16.994708994708994</v>
      </c>
      <c r="H3" s="3"/>
      <c r="I3" s="1" t="s">
        <v>21</v>
      </c>
      <c r="J3" s="2">
        <v>45348</v>
      </c>
      <c r="K3" s="1">
        <v>4.1900000000000004</v>
      </c>
      <c r="L3" s="1">
        <v>10.119999999999999</v>
      </c>
      <c r="M3" s="1">
        <f>AVERAGE(K3:K7)</f>
        <v>4.0380000000000003</v>
      </c>
      <c r="N3" s="1">
        <f>AVERAGE(L3:L7)</f>
        <v>7.6319999999999997</v>
      </c>
      <c r="O3" s="1">
        <f>N3/M3</f>
        <v>1.8900445765230309</v>
      </c>
      <c r="P3" s="3"/>
      <c r="Q3" s="3" t="s">
        <v>17</v>
      </c>
      <c r="R3" s="2">
        <v>45351</v>
      </c>
      <c r="S3" s="3">
        <v>4.53</v>
      </c>
      <c r="T3" s="3">
        <v>10.52</v>
      </c>
      <c r="U3" s="1">
        <f>AVERAGE(S3:S7)</f>
        <v>3.4859999999999998</v>
      </c>
      <c r="V3" s="1">
        <f>AVERAGE(T3:T7)</f>
        <v>8.3840000000000003</v>
      </c>
      <c r="W3" s="1">
        <f>V3/U3</f>
        <v>2.4050487664945499</v>
      </c>
      <c r="X3" s="3"/>
      <c r="Y3" s="3" t="s">
        <v>25</v>
      </c>
      <c r="Z3" s="2">
        <v>45351</v>
      </c>
      <c r="AA3" s="3">
        <v>0.09</v>
      </c>
      <c r="AB3" s="3">
        <v>4.25</v>
      </c>
      <c r="AC3" s="1">
        <f>AVERAGE(AA3:AA7)</f>
        <v>0.17400000000000002</v>
      </c>
      <c r="AD3" s="1">
        <f>AVERAGE(AB3:AB7)</f>
        <v>3.9159999999999995</v>
      </c>
      <c r="AE3" s="1">
        <f>AD3/AC3</f>
        <v>22.505747126436777</v>
      </c>
      <c r="AF3" s="3"/>
      <c r="AG3" s="3" t="s">
        <v>35</v>
      </c>
      <c r="AH3" s="53">
        <v>45352</v>
      </c>
      <c r="AI3" s="3">
        <v>0.16</v>
      </c>
      <c r="AJ3" s="3">
        <v>5.82</v>
      </c>
      <c r="AK3" s="1">
        <f>AVERAGE(AI3:AI7)</f>
        <v>0.17599999999999999</v>
      </c>
      <c r="AL3" s="1">
        <f>AVERAGE(AJ3:AJ7)</f>
        <v>6.2720000000000002</v>
      </c>
      <c r="AM3" s="1">
        <f>AL3/AK3</f>
        <v>35.63636363636364</v>
      </c>
      <c r="AN3" s="3"/>
      <c r="AO3" s="3" t="s">
        <v>39</v>
      </c>
      <c r="AP3" s="53">
        <v>45352</v>
      </c>
      <c r="AQ3" s="3">
        <v>4.78</v>
      </c>
      <c r="AR3" s="3">
        <v>8.31</v>
      </c>
      <c r="AS3" s="1">
        <f>AVERAGE(AQ3:AQ7)</f>
        <v>4</v>
      </c>
      <c r="AT3" s="1">
        <f>AVERAGE(AR3:AR7)</f>
        <v>6.2359999999999998</v>
      </c>
      <c r="AU3" s="1">
        <f>AT3/AS3</f>
        <v>1.5589999999999999</v>
      </c>
    </row>
    <row r="4" spans="1:47" x14ac:dyDescent="0.25">
      <c r="A4" s="1"/>
      <c r="B4" s="2"/>
      <c r="C4" s="1">
        <v>0.15</v>
      </c>
      <c r="D4" s="1">
        <v>4</v>
      </c>
      <c r="E4" s="1"/>
      <c r="F4" s="1"/>
      <c r="G4" s="1"/>
      <c r="H4" s="3"/>
      <c r="I4" s="3"/>
      <c r="J4" s="2"/>
      <c r="K4" s="1">
        <v>3.71</v>
      </c>
      <c r="L4" s="1">
        <v>3.5</v>
      </c>
      <c r="M4" s="1"/>
      <c r="N4" s="1"/>
      <c r="O4" s="1"/>
      <c r="P4" s="3"/>
      <c r="Q4" s="3"/>
      <c r="R4" s="2"/>
      <c r="S4" s="3">
        <v>0.3</v>
      </c>
      <c r="T4" s="3">
        <v>3.47</v>
      </c>
      <c r="U4" s="1"/>
      <c r="V4" s="1"/>
      <c r="W4" s="1"/>
      <c r="X4" s="3"/>
      <c r="Y4" s="3"/>
      <c r="Z4" s="2"/>
      <c r="AA4" s="3">
        <v>0.08</v>
      </c>
      <c r="AB4" s="3">
        <v>4.2</v>
      </c>
      <c r="AC4" s="1"/>
      <c r="AD4" s="1"/>
      <c r="AE4" s="1"/>
      <c r="AF4" s="3"/>
      <c r="AG4" s="3"/>
      <c r="AH4" s="3"/>
      <c r="AI4" s="3">
        <v>0.25</v>
      </c>
      <c r="AJ4" s="3">
        <v>8.19</v>
      </c>
      <c r="AK4" s="1"/>
      <c r="AL4" s="1"/>
      <c r="AM4" s="1"/>
      <c r="AN4" s="3"/>
      <c r="AO4" s="3"/>
      <c r="AP4" s="3"/>
      <c r="AQ4" s="3">
        <v>4.3899999999999997</v>
      </c>
      <c r="AR4" s="3">
        <v>6.92</v>
      </c>
      <c r="AS4" s="1"/>
      <c r="AT4" s="1"/>
      <c r="AU4" s="1"/>
    </row>
    <row r="5" spans="1:47" x14ac:dyDescent="0.25">
      <c r="A5" s="1"/>
      <c r="B5" s="2"/>
      <c r="C5" s="1">
        <v>0.28000000000000003</v>
      </c>
      <c r="D5" s="1">
        <v>9.86</v>
      </c>
      <c r="E5" s="1"/>
      <c r="F5" s="1"/>
      <c r="G5" s="1"/>
      <c r="H5" s="3"/>
      <c r="I5" s="3"/>
      <c r="J5" s="2"/>
      <c r="K5" s="1">
        <v>4.3600000000000003</v>
      </c>
      <c r="L5" s="1">
        <v>7.97</v>
      </c>
      <c r="M5" s="1"/>
      <c r="N5" s="1"/>
      <c r="O5" s="1"/>
      <c r="P5" s="3"/>
      <c r="Q5" s="3"/>
      <c r="R5" s="2"/>
      <c r="S5" s="3">
        <v>5.25</v>
      </c>
      <c r="T5" s="3">
        <v>9.99</v>
      </c>
      <c r="U5" s="1"/>
      <c r="V5" s="1"/>
      <c r="W5" s="1"/>
      <c r="X5" s="3"/>
      <c r="Y5" s="3"/>
      <c r="Z5" s="2"/>
      <c r="AA5" s="3">
        <v>0.23</v>
      </c>
      <c r="AB5" s="3">
        <v>2.98</v>
      </c>
      <c r="AC5" s="1"/>
      <c r="AD5" s="1"/>
      <c r="AE5" s="1"/>
      <c r="AF5" s="3"/>
      <c r="AG5" s="3"/>
      <c r="AH5" s="3"/>
      <c r="AI5" s="3">
        <v>0.12</v>
      </c>
      <c r="AJ5" s="3">
        <v>3.98</v>
      </c>
      <c r="AK5" s="1"/>
      <c r="AL5" s="1"/>
      <c r="AM5" s="1"/>
      <c r="AN5" s="3"/>
      <c r="AO5" s="3"/>
      <c r="AP5" s="3"/>
      <c r="AQ5" s="3">
        <v>4.99</v>
      </c>
      <c r="AR5" s="3">
        <v>5</v>
      </c>
      <c r="AS5" s="1"/>
      <c r="AT5" s="1"/>
      <c r="AU5" s="1"/>
    </row>
    <row r="6" spans="1:47" x14ac:dyDescent="0.25">
      <c r="A6" s="1"/>
      <c r="B6" s="2"/>
      <c r="C6" s="1">
        <v>0.44</v>
      </c>
      <c r="D6" s="1">
        <v>7.27</v>
      </c>
      <c r="E6" s="1"/>
      <c r="F6" s="1"/>
      <c r="G6" s="1"/>
      <c r="H6" s="3"/>
      <c r="I6" s="3"/>
      <c r="J6" s="2"/>
      <c r="K6" s="1">
        <v>2.76</v>
      </c>
      <c r="L6" s="1">
        <v>9.3000000000000007</v>
      </c>
      <c r="M6" s="1"/>
      <c r="N6" s="1"/>
      <c r="O6" s="1"/>
      <c r="P6" s="3"/>
      <c r="Q6" s="3"/>
      <c r="R6" s="2"/>
      <c r="S6" s="3">
        <v>4.24</v>
      </c>
      <c r="T6" s="3">
        <v>9.5299999999999994</v>
      </c>
      <c r="U6" s="1"/>
      <c r="V6" s="1"/>
      <c r="W6" s="1"/>
      <c r="X6" s="3"/>
      <c r="Y6" s="3"/>
      <c r="Z6" s="2"/>
      <c r="AA6" s="3">
        <v>0.18</v>
      </c>
      <c r="AB6" s="3">
        <v>2.2799999999999998</v>
      </c>
      <c r="AC6" s="1"/>
      <c r="AD6" s="1"/>
      <c r="AE6" s="1"/>
      <c r="AF6" s="3"/>
      <c r="AG6" s="3"/>
      <c r="AH6" s="3"/>
      <c r="AI6" s="3">
        <v>0.2</v>
      </c>
      <c r="AJ6" s="3">
        <v>8.65</v>
      </c>
      <c r="AK6" s="1"/>
      <c r="AL6" s="1"/>
      <c r="AM6" s="1"/>
      <c r="AN6" s="3"/>
      <c r="AO6" s="3"/>
      <c r="AP6" s="3"/>
      <c r="AQ6" s="3">
        <v>5.49</v>
      </c>
      <c r="AR6" s="3">
        <v>6.63</v>
      </c>
      <c r="AS6" s="1"/>
      <c r="AT6" s="1"/>
      <c r="AU6" s="1"/>
    </row>
    <row r="7" spans="1:47" x14ac:dyDescent="0.25">
      <c r="A7" s="1"/>
      <c r="B7" s="2"/>
      <c r="C7" s="1">
        <v>0.54</v>
      </c>
      <c r="D7" s="1">
        <v>6.62</v>
      </c>
      <c r="E7" s="1"/>
      <c r="F7" s="1"/>
      <c r="G7" s="1"/>
      <c r="H7" s="3"/>
      <c r="I7" s="1"/>
      <c r="J7" s="2"/>
      <c r="K7" s="1">
        <v>5.17</v>
      </c>
      <c r="L7" s="1">
        <v>7.27</v>
      </c>
      <c r="M7" s="1"/>
      <c r="N7" s="1"/>
      <c r="O7" s="1"/>
      <c r="P7" s="3"/>
      <c r="Q7" s="3"/>
      <c r="R7" s="2"/>
      <c r="S7" s="3">
        <v>3.11</v>
      </c>
      <c r="T7" s="3">
        <v>8.41</v>
      </c>
      <c r="U7" s="1"/>
      <c r="V7" s="1"/>
      <c r="W7" s="1"/>
      <c r="X7" s="3"/>
      <c r="Y7" s="3"/>
      <c r="Z7" s="2"/>
      <c r="AA7" s="3">
        <v>0.28999999999999998</v>
      </c>
      <c r="AB7" s="3">
        <v>5.87</v>
      </c>
      <c r="AC7" s="1"/>
      <c r="AD7" s="1"/>
      <c r="AE7" s="1"/>
      <c r="AF7" s="3"/>
      <c r="AG7" s="3"/>
      <c r="AH7" s="3"/>
      <c r="AI7" s="3">
        <v>0.15</v>
      </c>
      <c r="AJ7" s="3">
        <v>4.72</v>
      </c>
      <c r="AK7" s="1"/>
      <c r="AL7" s="1"/>
      <c r="AM7" s="1"/>
      <c r="AN7" s="3"/>
      <c r="AO7" s="3"/>
      <c r="AP7" s="3"/>
      <c r="AQ7" s="3">
        <v>0.35</v>
      </c>
      <c r="AR7" s="3">
        <v>4.32</v>
      </c>
      <c r="AS7" s="1"/>
      <c r="AT7" s="1"/>
      <c r="AU7" s="1"/>
    </row>
    <row r="8" spans="1:47" x14ac:dyDescent="0.25">
      <c r="A8" s="4" t="s">
        <v>13</v>
      </c>
      <c r="B8" s="5"/>
      <c r="C8" s="4">
        <v>0.22</v>
      </c>
      <c r="D8" s="4">
        <v>4.88</v>
      </c>
      <c r="E8" s="4">
        <f>AVERAGE(C8:C12)</f>
        <v>1.226</v>
      </c>
      <c r="F8" s="4">
        <f>AVERAGE(D8:D12)</f>
        <v>5.49</v>
      </c>
      <c r="G8" s="4">
        <f>F8/E8</f>
        <v>4.4779771615008155</v>
      </c>
      <c r="H8" s="6"/>
      <c r="I8" s="4" t="s">
        <v>22</v>
      </c>
      <c r="J8" s="5"/>
      <c r="K8" s="4">
        <v>6.68</v>
      </c>
      <c r="L8" s="4">
        <v>5.28</v>
      </c>
      <c r="M8" s="4">
        <f>AVERAGE(K8:K12)</f>
        <v>3.4319999999999999</v>
      </c>
      <c r="N8" s="4">
        <f>AVERAGE(L8:L12)</f>
        <v>4.2119999999999989</v>
      </c>
      <c r="O8" s="4">
        <f>N8/M8</f>
        <v>1.2272727272727271</v>
      </c>
      <c r="P8" s="6"/>
      <c r="Q8" s="6" t="s">
        <v>18</v>
      </c>
      <c r="R8" s="5"/>
      <c r="S8" s="6">
        <v>3.1</v>
      </c>
      <c r="T8" s="6">
        <v>7.18</v>
      </c>
      <c r="U8" s="4">
        <f>AVERAGE(S8:S12)</f>
        <v>3.1960000000000002</v>
      </c>
      <c r="V8" s="4">
        <f>AVERAGE(T8:T12)</f>
        <v>6.5720000000000001</v>
      </c>
      <c r="W8" s="4">
        <f>V8/U8</f>
        <v>2.0563204005006255</v>
      </c>
      <c r="X8" s="6"/>
      <c r="Y8" s="6" t="s">
        <v>26</v>
      </c>
      <c r="Z8" s="5"/>
      <c r="AA8" s="6">
        <v>0.15</v>
      </c>
      <c r="AB8" s="6">
        <v>6.01</v>
      </c>
      <c r="AC8" s="4">
        <f>AVERAGE(AA8:AA12)</f>
        <v>0.75600000000000001</v>
      </c>
      <c r="AD8" s="4">
        <f>AVERAGE(AB8:AB12)</f>
        <v>7.7900000000000009</v>
      </c>
      <c r="AE8" s="4">
        <f>AD8/AC8</f>
        <v>10.304232804232806</v>
      </c>
      <c r="AF8" s="6"/>
      <c r="AG8" s="6" t="s">
        <v>36</v>
      </c>
      <c r="AH8" s="6"/>
      <c r="AI8" s="6">
        <v>0.19</v>
      </c>
      <c r="AJ8" s="6">
        <v>6.64</v>
      </c>
      <c r="AK8" s="4">
        <f>AVERAGE(AI8:AI12)</f>
        <v>0.36</v>
      </c>
      <c r="AL8" s="4">
        <f>AVERAGE(AJ8:AJ12)</f>
        <v>7.2460000000000004</v>
      </c>
      <c r="AM8" s="4">
        <f>AL8/AK8</f>
        <v>20.12777777777778</v>
      </c>
      <c r="AN8" s="6"/>
      <c r="AO8" s="6" t="s">
        <v>40</v>
      </c>
      <c r="AP8" s="6"/>
      <c r="AQ8" s="6">
        <v>4.97</v>
      </c>
      <c r="AR8" s="6">
        <v>4.7699999999999996</v>
      </c>
      <c r="AS8" s="4">
        <f>AVERAGE(AQ8:AQ12)</f>
        <v>3.25</v>
      </c>
      <c r="AT8" s="4">
        <f>AVERAGE(AR8:AR12)</f>
        <v>4.2619999999999996</v>
      </c>
      <c r="AU8" s="4">
        <f>AT8/AS8</f>
        <v>1.3113846153846151</v>
      </c>
    </row>
    <row r="9" spans="1:47" x14ac:dyDescent="0.25">
      <c r="A9" s="4"/>
      <c r="B9" s="5"/>
      <c r="C9" s="4">
        <v>0.41</v>
      </c>
      <c r="D9" s="4">
        <v>4.1900000000000004</v>
      </c>
      <c r="E9" s="4"/>
      <c r="F9" s="4"/>
      <c r="G9" s="4"/>
      <c r="H9" s="6"/>
      <c r="I9" s="4"/>
      <c r="J9" s="5"/>
      <c r="K9" s="4">
        <v>3.02</v>
      </c>
      <c r="L9" s="4">
        <v>2.17</v>
      </c>
      <c r="M9" s="4"/>
      <c r="N9" s="4"/>
      <c r="O9" s="4"/>
      <c r="P9" s="6"/>
      <c r="Q9" s="6"/>
      <c r="R9" s="5"/>
      <c r="S9" s="6">
        <v>2.29</v>
      </c>
      <c r="T9" s="6">
        <v>8.6199999999999992</v>
      </c>
      <c r="U9" s="4"/>
      <c r="V9" s="4"/>
      <c r="W9" s="4"/>
      <c r="X9" s="6"/>
      <c r="Y9" s="6"/>
      <c r="Z9" s="5"/>
      <c r="AA9" s="6">
        <v>0.27</v>
      </c>
      <c r="AB9" s="6">
        <v>9.31</v>
      </c>
      <c r="AC9" s="4"/>
      <c r="AD9" s="4"/>
      <c r="AE9" s="4"/>
      <c r="AF9" s="6"/>
      <c r="AG9" s="6"/>
      <c r="AH9" s="6"/>
      <c r="AI9" s="6">
        <v>0.26</v>
      </c>
      <c r="AJ9" s="6">
        <v>6.63</v>
      </c>
      <c r="AK9" s="4"/>
      <c r="AL9" s="4"/>
      <c r="AM9" s="4"/>
      <c r="AN9" s="6"/>
      <c r="AO9" s="6"/>
      <c r="AP9" s="6"/>
      <c r="AQ9" s="6">
        <v>4.6100000000000003</v>
      </c>
      <c r="AR9" s="6">
        <v>7.56</v>
      </c>
      <c r="AS9" s="4"/>
      <c r="AT9" s="4"/>
      <c r="AU9" s="4"/>
    </row>
    <row r="10" spans="1:47" x14ac:dyDescent="0.25">
      <c r="A10" s="4"/>
      <c r="B10" s="5"/>
      <c r="C10" s="4">
        <v>0.82</v>
      </c>
      <c r="D10" s="4">
        <v>6.7</v>
      </c>
      <c r="E10" s="4"/>
      <c r="F10" s="4"/>
      <c r="G10" s="4"/>
      <c r="H10" s="6"/>
      <c r="I10" s="4"/>
      <c r="J10" s="5"/>
      <c r="K10" s="4">
        <v>0.09</v>
      </c>
      <c r="L10" s="4">
        <v>1.5</v>
      </c>
      <c r="M10" s="4"/>
      <c r="N10" s="4"/>
      <c r="O10" s="4"/>
      <c r="P10" s="6"/>
      <c r="Q10" s="6"/>
      <c r="R10" s="5"/>
      <c r="S10" s="6">
        <v>3.98</v>
      </c>
      <c r="T10" s="6">
        <v>7.39</v>
      </c>
      <c r="U10" s="4"/>
      <c r="V10" s="4"/>
      <c r="W10" s="4"/>
      <c r="X10" s="6"/>
      <c r="Y10" s="6"/>
      <c r="Z10" s="5"/>
      <c r="AA10" s="6">
        <v>1.77</v>
      </c>
      <c r="AB10" s="6">
        <v>6.37</v>
      </c>
      <c r="AC10" s="4"/>
      <c r="AD10" s="4"/>
      <c r="AE10" s="4"/>
      <c r="AF10" s="6"/>
      <c r="AG10" s="6"/>
      <c r="AH10" s="6"/>
      <c r="AI10" s="6">
        <v>0.06</v>
      </c>
      <c r="AJ10" s="6">
        <v>3.59</v>
      </c>
      <c r="AK10" s="4"/>
      <c r="AL10" s="4"/>
      <c r="AM10" s="4"/>
      <c r="AN10" s="6"/>
      <c r="AO10" s="6"/>
      <c r="AP10" s="6"/>
      <c r="AQ10" s="6">
        <v>3.17</v>
      </c>
      <c r="AR10" s="6">
        <v>6.21</v>
      </c>
      <c r="AS10" s="4"/>
      <c r="AT10" s="4"/>
      <c r="AU10" s="4"/>
    </row>
    <row r="11" spans="1:47" x14ac:dyDescent="0.25">
      <c r="A11" s="4"/>
      <c r="B11" s="5"/>
      <c r="C11" s="4">
        <v>3.01</v>
      </c>
      <c r="D11" s="4">
        <v>5.26</v>
      </c>
      <c r="E11" s="4"/>
      <c r="F11" s="4"/>
      <c r="G11" s="4"/>
      <c r="H11" s="6"/>
      <c r="I11" s="4"/>
      <c r="J11" s="5"/>
      <c r="K11" s="4">
        <v>3.8</v>
      </c>
      <c r="L11" s="4">
        <v>11.53</v>
      </c>
      <c r="M11" s="4"/>
      <c r="N11" s="4"/>
      <c r="O11" s="4"/>
      <c r="P11" s="6"/>
      <c r="Q11" s="6"/>
      <c r="R11" s="5"/>
      <c r="S11" s="6">
        <v>4.29</v>
      </c>
      <c r="T11" s="6">
        <v>5.92</v>
      </c>
      <c r="U11" s="4"/>
      <c r="V11" s="4"/>
      <c r="W11" s="4"/>
      <c r="X11" s="6"/>
      <c r="Y11" s="6"/>
      <c r="Z11" s="5"/>
      <c r="AA11" s="6">
        <v>1.21</v>
      </c>
      <c r="AB11" s="6">
        <v>8.75</v>
      </c>
      <c r="AC11" s="4"/>
      <c r="AD11" s="4"/>
      <c r="AE11" s="4"/>
      <c r="AF11" s="6"/>
      <c r="AG11" s="6"/>
      <c r="AH11" s="6"/>
      <c r="AI11" s="6">
        <v>0.79</v>
      </c>
      <c r="AJ11" s="6">
        <v>10.85</v>
      </c>
      <c r="AK11" s="4"/>
      <c r="AL11" s="4"/>
      <c r="AM11" s="4"/>
      <c r="AN11" s="6"/>
      <c r="AO11" s="6"/>
      <c r="AP11" s="6"/>
      <c r="AQ11" s="6">
        <v>3.2</v>
      </c>
      <c r="AR11" s="6">
        <v>1.78</v>
      </c>
      <c r="AS11" s="4"/>
      <c r="AT11" s="4"/>
      <c r="AU11" s="4"/>
    </row>
    <row r="12" spans="1:47" x14ac:dyDescent="0.25">
      <c r="A12" s="4"/>
      <c r="B12" s="5"/>
      <c r="C12" s="4">
        <v>1.67</v>
      </c>
      <c r="D12" s="4">
        <v>6.42</v>
      </c>
      <c r="E12" s="4"/>
      <c r="F12" s="4"/>
      <c r="G12" s="4"/>
      <c r="H12" s="6"/>
      <c r="I12" s="4"/>
      <c r="J12" s="5"/>
      <c r="K12" s="4">
        <v>3.57</v>
      </c>
      <c r="L12" s="4">
        <v>0.57999999999999996</v>
      </c>
      <c r="M12" s="4"/>
      <c r="N12" s="4"/>
      <c r="O12" s="4"/>
      <c r="P12" s="6"/>
      <c r="Q12" s="6"/>
      <c r="R12" s="5"/>
      <c r="S12" s="6">
        <v>2.3199999999999998</v>
      </c>
      <c r="T12" s="6">
        <v>3.75</v>
      </c>
      <c r="U12" s="4"/>
      <c r="V12" s="4"/>
      <c r="W12" s="4"/>
      <c r="X12" s="6"/>
      <c r="Y12" s="6"/>
      <c r="Z12" s="5"/>
      <c r="AA12" s="6">
        <v>0.38</v>
      </c>
      <c r="AB12" s="6">
        <v>8.51</v>
      </c>
      <c r="AC12" s="4"/>
      <c r="AD12" s="4"/>
      <c r="AE12" s="4"/>
      <c r="AF12" s="6"/>
      <c r="AG12" s="6"/>
      <c r="AH12" s="6"/>
      <c r="AI12" s="6">
        <v>0.5</v>
      </c>
      <c r="AJ12" s="6">
        <v>8.52</v>
      </c>
      <c r="AK12" s="4"/>
      <c r="AL12" s="4"/>
      <c r="AM12" s="4"/>
      <c r="AN12" s="6"/>
      <c r="AO12" s="6"/>
      <c r="AP12" s="6"/>
      <c r="AQ12" s="6">
        <v>0.3</v>
      </c>
      <c r="AR12" s="6">
        <v>0.99</v>
      </c>
      <c r="AS12" s="4"/>
      <c r="AT12" s="4"/>
      <c r="AU12" s="4"/>
    </row>
    <row r="13" spans="1:47" x14ac:dyDescent="0.25">
      <c r="A13" s="1" t="s">
        <v>14</v>
      </c>
      <c r="B13" s="2"/>
      <c r="C13" s="1">
        <v>1.04</v>
      </c>
      <c r="D13" s="1">
        <v>6.42</v>
      </c>
      <c r="E13" s="1">
        <f>AVERAGE(C13:C17)</f>
        <v>0.96800000000000019</v>
      </c>
      <c r="F13" s="1">
        <f>AVERAGE(D13:D17)</f>
        <v>8.3659999999999997</v>
      </c>
      <c r="G13" s="1">
        <f>F13/E13</f>
        <v>8.6425619834710723</v>
      </c>
      <c r="H13" s="3"/>
      <c r="I13" s="1" t="s">
        <v>23</v>
      </c>
      <c r="J13" s="2"/>
      <c r="K13" s="1">
        <v>2.58</v>
      </c>
      <c r="L13" s="1">
        <v>6.09</v>
      </c>
      <c r="M13" s="1">
        <f>AVERAGE(K13:K17)</f>
        <v>3.4799999999999995</v>
      </c>
      <c r="N13" s="1">
        <f>AVERAGE(L13:L17)</f>
        <v>8.85</v>
      </c>
      <c r="O13" s="1">
        <f>N13/M13</f>
        <v>2.5431034482758621</v>
      </c>
      <c r="P13" s="3"/>
      <c r="Q13" s="3" t="s">
        <v>19</v>
      </c>
      <c r="R13" s="2"/>
      <c r="S13" s="3">
        <v>4.08</v>
      </c>
      <c r="T13" s="3">
        <v>7.27</v>
      </c>
      <c r="U13" s="1">
        <f>AVERAGE(S13:S17)</f>
        <v>4.1820000000000004</v>
      </c>
      <c r="V13" s="1">
        <f>AVERAGE(T13:T17)</f>
        <v>7.7279999999999998</v>
      </c>
      <c r="W13" s="1">
        <f>V13/U13</f>
        <v>1.8479196556671447</v>
      </c>
      <c r="X13" s="3"/>
      <c r="Y13" s="3" t="s">
        <v>27</v>
      </c>
      <c r="Z13" s="2"/>
      <c r="AA13" s="3">
        <v>0.24</v>
      </c>
      <c r="AB13" s="3">
        <v>4.25</v>
      </c>
      <c r="AC13" s="1">
        <f>AVERAGE(AA13:AA17)</f>
        <v>0.31</v>
      </c>
      <c r="AD13" s="1">
        <f>AVERAGE(AB13:AB17)</f>
        <v>5.41</v>
      </c>
      <c r="AE13" s="1">
        <f>AD13/AC13</f>
        <v>17.451612903225808</v>
      </c>
      <c r="AF13" s="3"/>
      <c r="AG13" s="3" t="s">
        <v>37</v>
      </c>
      <c r="AH13" s="3"/>
      <c r="AI13" s="3">
        <v>0.18</v>
      </c>
      <c r="AJ13" s="3">
        <v>2.11</v>
      </c>
      <c r="AK13" s="1">
        <f>AVERAGE(AI13:AI17)</f>
        <v>2.496</v>
      </c>
      <c r="AL13" s="1">
        <f>AVERAGE(AJ13:AJ17)</f>
        <v>2.1240000000000001</v>
      </c>
      <c r="AM13" s="1">
        <f>AL13/AK13</f>
        <v>0.85096153846153855</v>
      </c>
      <c r="AN13" s="3"/>
      <c r="AO13" s="3" t="s">
        <v>41</v>
      </c>
      <c r="AP13" s="3"/>
      <c r="AQ13" s="3">
        <v>4.01</v>
      </c>
      <c r="AR13" s="3">
        <v>5.85</v>
      </c>
      <c r="AS13" s="1">
        <f>AVERAGE(AQ13:AQ17)</f>
        <v>3.29</v>
      </c>
      <c r="AT13" s="1">
        <f>AVERAGE(AR13:AR17)</f>
        <v>5.4359999999999999</v>
      </c>
      <c r="AU13" s="1">
        <f>AT13/AS13</f>
        <v>1.6522796352583586</v>
      </c>
    </row>
    <row r="14" spans="1:47" x14ac:dyDescent="0.25">
      <c r="A14" s="1"/>
      <c r="B14" s="2"/>
      <c r="C14" s="1">
        <v>1.53</v>
      </c>
      <c r="D14" s="1">
        <v>11.56</v>
      </c>
      <c r="E14" s="1"/>
      <c r="F14" s="1"/>
      <c r="G14" s="1"/>
      <c r="H14" s="3"/>
      <c r="I14" s="1"/>
      <c r="J14" s="2"/>
      <c r="K14" s="1">
        <v>2.64</v>
      </c>
      <c r="L14" s="1">
        <v>12</v>
      </c>
      <c r="M14" s="1"/>
      <c r="N14" s="1"/>
      <c r="O14" s="1"/>
      <c r="P14" s="3"/>
      <c r="Q14" s="3"/>
      <c r="R14" s="2"/>
      <c r="S14" s="3">
        <v>3.01</v>
      </c>
      <c r="T14" s="3">
        <v>5.22</v>
      </c>
      <c r="U14" s="1"/>
      <c r="V14" s="1"/>
      <c r="W14" s="1"/>
      <c r="X14" s="3"/>
      <c r="Y14" s="3"/>
      <c r="Z14" s="2"/>
      <c r="AA14" s="3">
        <v>0.32</v>
      </c>
      <c r="AB14" s="3">
        <v>6.02</v>
      </c>
      <c r="AC14" s="1"/>
      <c r="AD14" s="1"/>
      <c r="AE14" s="1"/>
      <c r="AF14" s="3"/>
      <c r="AG14" s="3"/>
      <c r="AH14" s="3"/>
      <c r="AI14" s="3">
        <v>4.9400000000000004</v>
      </c>
      <c r="AJ14" s="3">
        <v>4.21</v>
      </c>
      <c r="AK14" s="1"/>
      <c r="AL14" s="1"/>
      <c r="AM14" s="1"/>
      <c r="AN14" s="3"/>
      <c r="AO14" s="3"/>
      <c r="AP14" s="3"/>
      <c r="AQ14" s="3">
        <v>2.81</v>
      </c>
      <c r="AR14" s="3">
        <v>4.37</v>
      </c>
      <c r="AS14" s="1"/>
      <c r="AT14" s="1"/>
      <c r="AU14" s="1"/>
    </row>
    <row r="15" spans="1:47" x14ac:dyDescent="0.25">
      <c r="A15" s="1"/>
      <c r="B15" s="2"/>
      <c r="C15" s="1">
        <v>0.63</v>
      </c>
      <c r="D15" s="1">
        <v>6.83</v>
      </c>
      <c r="E15" s="1"/>
      <c r="F15" s="1"/>
      <c r="G15" s="1"/>
      <c r="H15" s="3"/>
      <c r="I15" s="1"/>
      <c r="J15" s="2"/>
      <c r="K15" s="1">
        <v>2.86</v>
      </c>
      <c r="L15" s="1">
        <v>4.67</v>
      </c>
      <c r="M15" s="1"/>
      <c r="N15" s="1"/>
      <c r="O15" s="1"/>
      <c r="P15" s="3"/>
      <c r="Q15" s="3"/>
      <c r="R15" s="2"/>
      <c r="S15" s="3">
        <v>3.16</v>
      </c>
      <c r="T15" s="3">
        <v>6.3</v>
      </c>
      <c r="U15" s="1"/>
      <c r="V15" s="1"/>
      <c r="W15" s="1"/>
      <c r="X15" s="3"/>
      <c r="Y15" s="3"/>
      <c r="Z15" s="2"/>
      <c r="AA15" s="3">
        <v>0.32</v>
      </c>
      <c r="AB15" s="3">
        <v>4.5</v>
      </c>
      <c r="AC15" s="1"/>
      <c r="AD15" s="1"/>
      <c r="AE15" s="1"/>
      <c r="AF15" s="3"/>
      <c r="AG15" s="3"/>
      <c r="AH15" s="3"/>
      <c r="AI15" s="3">
        <v>5.68</v>
      </c>
      <c r="AJ15" s="3">
        <v>1.1499999999999999</v>
      </c>
      <c r="AK15" s="1"/>
      <c r="AL15" s="1"/>
      <c r="AM15" s="1"/>
      <c r="AN15" s="3"/>
      <c r="AO15" s="3"/>
      <c r="AP15" s="3"/>
      <c r="AQ15" s="3">
        <v>5.61</v>
      </c>
      <c r="AR15" s="3">
        <v>9.35</v>
      </c>
      <c r="AS15" s="1"/>
      <c r="AT15" s="1"/>
      <c r="AU15" s="1"/>
    </row>
    <row r="16" spans="1:47" x14ac:dyDescent="0.25">
      <c r="A16" s="1"/>
      <c r="B16" s="2"/>
      <c r="C16" s="1">
        <v>0.53</v>
      </c>
      <c r="D16" s="1">
        <v>11.72</v>
      </c>
      <c r="E16" s="1"/>
      <c r="F16" s="1"/>
      <c r="G16" s="1"/>
      <c r="H16" s="3"/>
      <c r="I16" s="1"/>
      <c r="J16" s="2"/>
      <c r="K16" s="1">
        <v>5.26</v>
      </c>
      <c r="L16" s="1">
        <v>15.65</v>
      </c>
      <c r="M16" s="1"/>
      <c r="N16" s="1"/>
      <c r="O16" s="1"/>
      <c r="P16" s="3"/>
      <c r="Q16" s="3"/>
      <c r="R16" s="2"/>
      <c r="S16" s="3">
        <v>5.48</v>
      </c>
      <c r="T16" s="3">
        <v>12.03</v>
      </c>
      <c r="U16" s="1"/>
      <c r="V16" s="1"/>
      <c r="W16" s="1"/>
      <c r="X16" s="3"/>
      <c r="Y16" s="3"/>
      <c r="Z16" s="2"/>
      <c r="AA16" s="3">
        <v>0.62</v>
      </c>
      <c r="AB16" s="3">
        <v>6.78</v>
      </c>
      <c r="AC16" s="1"/>
      <c r="AD16" s="1"/>
      <c r="AE16" s="1"/>
      <c r="AF16" s="3"/>
      <c r="AG16" s="3"/>
      <c r="AH16" s="3"/>
      <c r="AI16" s="3">
        <v>0.87</v>
      </c>
      <c r="AJ16" s="3">
        <v>2.23</v>
      </c>
      <c r="AK16" s="1"/>
      <c r="AL16" s="1"/>
      <c r="AM16" s="1"/>
      <c r="AN16" s="3"/>
      <c r="AO16" s="3"/>
      <c r="AP16" s="3"/>
      <c r="AQ16" s="3">
        <v>3.47</v>
      </c>
      <c r="AR16" s="3">
        <v>0.84</v>
      </c>
      <c r="AS16" s="1"/>
      <c r="AT16" s="1"/>
      <c r="AU16" s="1"/>
    </row>
    <row r="17" spans="1:47" x14ac:dyDescent="0.25">
      <c r="A17" s="1"/>
      <c r="B17" s="2"/>
      <c r="C17" s="1">
        <v>1.1100000000000001</v>
      </c>
      <c r="D17" s="1">
        <v>5.3</v>
      </c>
      <c r="E17" s="1"/>
      <c r="F17" s="1"/>
      <c r="G17" s="1"/>
      <c r="H17" s="3"/>
      <c r="I17" s="1"/>
      <c r="J17" s="2"/>
      <c r="K17" s="1">
        <v>4.0599999999999996</v>
      </c>
      <c r="L17" s="1">
        <v>5.84</v>
      </c>
      <c r="M17" s="1"/>
      <c r="N17" s="1"/>
      <c r="O17" s="1"/>
      <c r="P17" s="3"/>
      <c r="Q17" s="3"/>
      <c r="R17" s="2"/>
      <c r="S17" s="3">
        <v>5.18</v>
      </c>
      <c r="T17" s="3">
        <v>7.82</v>
      </c>
      <c r="U17" s="1"/>
      <c r="V17" s="1"/>
      <c r="W17" s="1"/>
      <c r="X17" s="3"/>
      <c r="Y17" s="3"/>
      <c r="Z17" s="2"/>
      <c r="AA17" s="3">
        <v>0.05</v>
      </c>
      <c r="AB17" s="3">
        <v>5.5</v>
      </c>
      <c r="AC17" s="1"/>
      <c r="AD17" s="1"/>
      <c r="AE17" s="1"/>
      <c r="AF17" s="3"/>
      <c r="AG17" s="3"/>
      <c r="AH17" s="3"/>
      <c r="AI17" s="3">
        <v>0.81</v>
      </c>
      <c r="AJ17" s="3">
        <v>0.92</v>
      </c>
      <c r="AK17" s="1"/>
      <c r="AL17" s="1"/>
      <c r="AM17" s="1"/>
      <c r="AN17" s="3"/>
      <c r="AO17" s="3"/>
      <c r="AP17" s="3"/>
      <c r="AQ17" s="3">
        <v>0.55000000000000004</v>
      </c>
      <c r="AR17" s="3">
        <v>6.77</v>
      </c>
      <c r="AS17" s="1"/>
      <c r="AT17" s="1"/>
      <c r="AU17" s="1"/>
    </row>
    <row r="18" spans="1:47" x14ac:dyDescent="0.25">
      <c r="A18" s="4" t="s">
        <v>7</v>
      </c>
      <c r="B18" s="5"/>
      <c r="C18" s="4">
        <v>0.53</v>
      </c>
      <c r="D18" s="4">
        <v>9.66</v>
      </c>
      <c r="E18" s="4">
        <f>AVERAGE(C18:C22)</f>
        <v>1.0660000000000001</v>
      </c>
      <c r="F18" s="4">
        <f>AVERAGE(D18:D22)</f>
        <v>7.4060000000000006</v>
      </c>
      <c r="G18" s="4">
        <f>F18/E18</f>
        <v>6.9474671669793624</v>
      </c>
      <c r="H18" s="6"/>
      <c r="I18" s="4" t="s">
        <v>24</v>
      </c>
      <c r="J18" s="5"/>
      <c r="K18" s="4">
        <v>0.16</v>
      </c>
      <c r="L18" s="4">
        <v>5.29</v>
      </c>
      <c r="M18" s="4">
        <f>AVERAGE(K18:K22)</f>
        <v>1.4620000000000002</v>
      </c>
      <c r="N18" s="4">
        <f>AVERAGE(L18:L22)</f>
        <v>5.7879999999999994</v>
      </c>
      <c r="O18" s="4">
        <f>N18/M18</f>
        <v>3.9589603283173727</v>
      </c>
      <c r="P18" s="6"/>
      <c r="Q18" s="6" t="s">
        <v>20</v>
      </c>
      <c r="R18" s="5"/>
      <c r="S18" s="6">
        <v>5.36</v>
      </c>
      <c r="T18" s="6">
        <v>6.1</v>
      </c>
      <c r="U18" s="4">
        <f>AVERAGE(S18:S22)</f>
        <v>4.2720000000000002</v>
      </c>
      <c r="V18" s="4">
        <f>AVERAGE(T18:T22)</f>
        <v>7.3119999999999994</v>
      </c>
      <c r="W18" s="4">
        <f>V18/U18</f>
        <v>1.7116104868913855</v>
      </c>
      <c r="X18" s="6"/>
      <c r="Y18" s="6" t="s">
        <v>30</v>
      </c>
      <c r="Z18" s="5"/>
      <c r="AA18" s="6">
        <v>0.11</v>
      </c>
      <c r="AB18" s="6">
        <v>6.89</v>
      </c>
      <c r="AC18" s="4">
        <f>AVERAGE(AA18:AA22)</f>
        <v>0.58799999999999997</v>
      </c>
      <c r="AD18" s="4">
        <f>AVERAGE(AB18:AB22)</f>
        <v>7.2219999999999995</v>
      </c>
      <c r="AE18" s="4">
        <f>AD18/AC18</f>
        <v>12.282312925170068</v>
      </c>
      <c r="AF18" s="6"/>
      <c r="AG18" s="6" t="s">
        <v>38</v>
      </c>
      <c r="AH18" s="6"/>
      <c r="AI18" s="6">
        <v>1.86</v>
      </c>
      <c r="AJ18" s="6">
        <v>3.56</v>
      </c>
      <c r="AK18" s="4">
        <f>AVERAGE(AI18:AI22)</f>
        <v>1.054</v>
      </c>
      <c r="AL18" s="4">
        <f>AVERAGE(AJ18:AJ22)</f>
        <v>6.6579999999999995</v>
      </c>
      <c r="AM18" s="4">
        <f>AL18/AK18</f>
        <v>6.3168880455407965</v>
      </c>
      <c r="AN18" s="6"/>
      <c r="AO18" s="6" t="s">
        <v>42</v>
      </c>
      <c r="AP18" s="6"/>
      <c r="AQ18" s="6">
        <v>7.16</v>
      </c>
      <c r="AR18" s="6">
        <v>0.53</v>
      </c>
      <c r="AS18" s="4">
        <f>AVERAGE(AQ18:AQ22)</f>
        <v>4.7619999999999996</v>
      </c>
      <c r="AT18" s="4">
        <f>AVERAGE(AR18:AR22)</f>
        <v>4.4060000000000006</v>
      </c>
      <c r="AU18" s="4">
        <f>AT18/AS18</f>
        <v>0.92524149517009679</v>
      </c>
    </row>
    <row r="19" spans="1:47" x14ac:dyDescent="0.25">
      <c r="A19" s="4"/>
      <c r="B19" s="5"/>
      <c r="C19" s="4">
        <v>0.47</v>
      </c>
      <c r="D19" s="4">
        <v>8.18</v>
      </c>
      <c r="E19" s="4"/>
      <c r="F19" s="4"/>
      <c r="G19" s="4"/>
      <c r="H19" s="6"/>
      <c r="I19" s="4"/>
      <c r="J19" s="5"/>
      <c r="K19" s="4">
        <v>0.2</v>
      </c>
      <c r="L19" s="4">
        <v>4.12</v>
      </c>
      <c r="M19" s="4"/>
      <c r="N19" s="4"/>
      <c r="O19" s="4"/>
      <c r="P19" s="6"/>
      <c r="Q19" s="6"/>
      <c r="R19" s="5"/>
      <c r="S19" s="6">
        <v>4.96</v>
      </c>
      <c r="T19" s="6">
        <v>9.9</v>
      </c>
      <c r="U19" s="4"/>
      <c r="V19" s="4"/>
      <c r="W19" s="4"/>
      <c r="X19" s="6"/>
      <c r="Y19" s="6"/>
      <c r="Z19" s="5"/>
      <c r="AA19" s="6">
        <v>0.39</v>
      </c>
      <c r="AB19" s="6">
        <v>6.97</v>
      </c>
      <c r="AC19" s="4"/>
      <c r="AD19" s="4"/>
      <c r="AE19" s="4"/>
      <c r="AF19" s="6"/>
      <c r="AG19" s="6"/>
      <c r="AH19" s="6"/>
      <c r="AI19" s="6">
        <v>0.15</v>
      </c>
      <c r="AJ19" s="6">
        <v>5.68</v>
      </c>
      <c r="AK19" s="4"/>
      <c r="AL19" s="4"/>
      <c r="AM19" s="4"/>
      <c r="AN19" s="6"/>
      <c r="AO19" s="6"/>
      <c r="AP19" s="6"/>
      <c r="AQ19" s="6">
        <v>4.79</v>
      </c>
      <c r="AR19" s="6">
        <v>4.04</v>
      </c>
      <c r="AS19" s="4"/>
      <c r="AT19" s="4"/>
      <c r="AU19" s="4"/>
    </row>
    <row r="20" spans="1:47" x14ac:dyDescent="0.25">
      <c r="A20" s="4"/>
      <c r="B20" s="5"/>
      <c r="C20" s="4">
        <v>2.64</v>
      </c>
      <c r="D20" s="4">
        <v>9</v>
      </c>
      <c r="E20" s="4"/>
      <c r="F20" s="4"/>
      <c r="G20" s="4"/>
      <c r="H20" s="6"/>
      <c r="I20" s="4"/>
      <c r="J20" s="5"/>
      <c r="K20" s="4">
        <v>6.57</v>
      </c>
      <c r="L20" s="4">
        <v>11.45</v>
      </c>
      <c r="M20" s="4"/>
      <c r="N20" s="4"/>
      <c r="O20" s="4"/>
      <c r="P20" s="6"/>
      <c r="Q20" s="6"/>
      <c r="R20" s="5"/>
      <c r="S20" s="6">
        <v>5.74</v>
      </c>
      <c r="T20" s="6">
        <v>2.72</v>
      </c>
      <c r="U20" s="4"/>
      <c r="V20" s="4"/>
      <c r="W20" s="4"/>
      <c r="X20" s="6"/>
      <c r="Y20" s="6"/>
      <c r="Z20" s="5"/>
      <c r="AA20" s="6">
        <v>1.54</v>
      </c>
      <c r="AB20" s="6">
        <v>10.24</v>
      </c>
      <c r="AC20" s="4"/>
      <c r="AD20" s="4"/>
      <c r="AE20" s="4"/>
      <c r="AF20" s="6"/>
      <c r="AG20" s="6"/>
      <c r="AH20" s="6"/>
      <c r="AI20" s="6">
        <v>0.66</v>
      </c>
      <c r="AJ20" s="6">
        <v>11.93</v>
      </c>
      <c r="AK20" s="4"/>
      <c r="AL20" s="4"/>
      <c r="AM20" s="4"/>
      <c r="AN20" s="6"/>
      <c r="AO20" s="6"/>
      <c r="AP20" s="6"/>
      <c r="AQ20" s="6">
        <v>3.54</v>
      </c>
      <c r="AR20" s="6">
        <v>6.91</v>
      </c>
      <c r="AS20" s="4"/>
      <c r="AT20" s="4"/>
      <c r="AU20" s="4"/>
    </row>
    <row r="21" spans="1:47" x14ac:dyDescent="0.25">
      <c r="A21" s="4"/>
      <c r="B21" s="5"/>
      <c r="C21" s="4">
        <v>1.48</v>
      </c>
      <c r="D21" s="4">
        <v>4.58</v>
      </c>
      <c r="E21" s="4"/>
      <c r="F21" s="4"/>
      <c r="G21" s="4"/>
      <c r="H21" s="6"/>
      <c r="I21" s="4"/>
      <c r="J21" s="5"/>
      <c r="K21" s="4">
        <v>0.08</v>
      </c>
      <c r="L21" s="4">
        <v>2.59</v>
      </c>
      <c r="M21" s="4"/>
      <c r="N21" s="4"/>
      <c r="O21" s="4"/>
      <c r="P21" s="6"/>
      <c r="Q21" s="6"/>
      <c r="R21" s="5"/>
      <c r="S21" s="6">
        <v>2.38</v>
      </c>
      <c r="T21" s="6">
        <v>7.97</v>
      </c>
      <c r="U21" s="4"/>
      <c r="V21" s="4"/>
      <c r="W21" s="4"/>
      <c r="X21" s="6"/>
      <c r="Y21" s="6"/>
      <c r="Z21" s="5"/>
      <c r="AA21" s="6">
        <v>0.46</v>
      </c>
      <c r="AB21" s="6">
        <v>6.9</v>
      </c>
      <c r="AC21" s="4"/>
      <c r="AD21" s="4"/>
      <c r="AE21" s="4"/>
      <c r="AF21" s="6"/>
      <c r="AG21" s="6"/>
      <c r="AH21" s="6"/>
      <c r="AI21" s="6">
        <v>1.4</v>
      </c>
      <c r="AJ21" s="6">
        <v>5.84</v>
      </c>
      <c r="AK21" s="4"/>
      <c r="AL21" s="4"/>
      <c r="AM21" s="4"/>
      <c r="AN21" s="6"/>
      <c r="AO21" s="6"/>
      <c r="AP21" s="6"/>
      <c r="AQ21" s="6">
        <v>2.73</v>
      </c>
      <c r="AR21" s="6">
        <v>5.29</v>
      </c>
      <c r="AS21" s="4"/>
      <c r="AT21" s="4"/>
      <c r="AU21" s="4"/>
    </row>
    <row r="22" spans="1:47" x14ac:dyDescent="0.25">
      <c r="A22" s="4"/>
      <c r="B22" s="5"/>
      <c r="C22" s="4">
        <v>0.21</v>
      </c>
      <c r="D22" s="4">
        <v>5.61</v>
      </c>
      <c r="E22" s="4"/>
      <c r="F22" s="4"/>
      <c r="G22" s="4"/>
      <c r="H22" s="6"/>
      <c r="I22" s="4"/>
      <c r="J22" s="5"/>
      <c r="K22" s="4">
        <v>0.3</v>
      </c>
      <c r="L22" s="4">
        <v>5.49</v>
      </c>
      <c r="M22" s="4"/>
      <c r="N22" s="4"/>
      <c r="O22" s="4"/>
      <c r="P22" s="6"/>
      <c r="Q22" s="6"/>
      <c r="R22" s="5"/>
      <c r="S22" s="6">
        <v>2.92</v>
      </c>
      <c r="T22" s="6">
        <v>9.8699999999999992</v>
      </c>
      <c r="U22" s="4"/>
      <c r="V22" s="4"/>
      <c r="W22" s="4"/>
      <c r="X22" s="6"/>
      <c r="Y22" s="6"/>
      <c r="Z22" s="5"/>
      <c r="AA22" s="6">
        <v>0.44</v>
      </c>
      <c r="AB22" s="6">
        <v>5.1100000000000003</v>
      </c>
      <c r="AC22" s="4"/>
      <c r="AD22" s="4"/>
      <c r="AE22" s="4"/>
      <c r="AF22" s="6"/>
      <c r="AG22" s="6"/>
      <c r="AH22" s="6"/>
      <c r="AI22" s="6">
        <v>1.2</v>
      </c>
      <c r="AJ22" s="6">
        <v>6.28</v>
      </c>
      <c r="AK22" s="4"/>
      <c r="AL22" s="4"/>
      <c r="AM22" s="4"/>
      <c r="AN22" s="6"/>
      <c r="AO22" s="6"/>
      <c r="AP22" s="6"/>
      <c r="AQ22" s="6">
        <v>5.59</v>
      </c>
      <c r="AR22" s="6">
        <v>5.26</v>
      </c>
      <c r="AS22" s="4"/>
      <c r="AT22" s="4"/>
      <c r="AU22" s="4"/>
    </row>
    <row r="23" spans="1:47" x14ac:dyDescent="0.25">
      <c r="A23" s="1" t="s">
        <v>9</v>
      </c>
      <c r="B23" s="2"/>
      <c r="C23" s="1">
        <v>0.34</v>
      </c>
      <c r="D23" s="1">
        <v>8.0500000000000007</v>
      </c>
      <c r="E23" s="1">
        <f>AVERAGE(C23:C27)</f>
        <v>0.82200000000000006</v>
      </c>
      <c r="F23" s="1">
        <f>AVERAGE(D23:D27)</f>
        <v>5.9580000000000002</v>
      </c>
      <c r="G23" s="1">
        <f>F23/E23</f>
        <v>7.2481751824817513</v>
      </c>
      <c r="H23" s="3"/>
      <c r="I23" s="1" t="s">
        <v>14</v>
      </c>
      <c r="J23" s="2"/>
      <c r="K23" s="1">
        <v>4.37</v>
      </c>
      <c r="L23" s="1">
        <v>4.8099999999999996</v>
      </c>
      <c r="M23" s="1">
        <f>AVERAGE(K23:K27)</f>
        <v>4.8040000000000003</v>
      </c>
      <c r="N23" s="1">
        <f>AVERAGE(L23:L27)</f>
        <v>6.1319999999999997</v>
      </c>
      <c r="O23" s="1">
        <f>N23/M23</f>
        <v>1.2764363030807659</v>
      </c>
      <c r="P23" s="3"/>
      <c r="Q23" s="3" t="s">
        <v>10</v>
      </c>
      <c r="R23" s="2"/>
      <c r="S23" s="3">
        <v>3.21</v>
      </c>
      <c r="T23" s="3">
        <v>10.73</v>
      </c>
      <c r="U23" s="1">
        <f>AVERAGE(S23:S27)</f>
        <v>4.2540000000000004</v>
      </c>
      <c r="V23" s="1">
        <f>AVERAGE(T23:T27)</f>
        <v>9.1539999999999999</v>
      </c>
      <c r="W23" s="1">
        <f>V23/U23</f>
        <v>2.1518570756934645</v>
      </c>
      <c r="X23" s="3"/>
      <c r="Y23" s="3" t="s">
        <v>31</v>
      </c>
      <c r="Z23" s="3"/>
      <c r="AA23" s="3">
        <v>1.83</v>
      </c>
      <c r="AB23" s="3">
        <v>9.15</v>
      </c>
      <c r="AC23" s="1">
        <f>AVERAGE(AA23:AA27)</f>
        <v>2.028</v>
      </c>
      <c r="AD23" s="1">
        <f>AVERAGE(AB23:AB27)</f>
        <v>8.0259999999999998</v>
      </c>
      <c r="AE23" s="1">
        <f>AD23/AC23</f>
        <v>3.9575936883629188</v>
      </c>
      <c r="AF23" s="3"/>
      <c r="AG23" s="3" t="s">
        <v>28</v>
      </c>
      <c r="AH23" s="3"/>
      <c r="AI23" s="3">
        <v>0.26</v>
      </c>
      <c r="AJ23" s="3">
        <v>6.9</v>
      </c>
      <c r="AK23" s="1">
        <f>AVERAGE(AI23:AI27)</f>
        <v>0.31799999999999995</v>
      </c>
      <c r="AL23" s="1">
        <f>AVERAGE(AJ23:AJ27)</f>
        <v>4.0600000000000005</v>
      </c>
      <c r="AM23" s="1">
        <f>AL23/AK23</f>
        <v>12.76729559748428</v>
      </c>
      <c r="AN23" s="3"/>
      <c r="AO23" s="3" t="s">
        <v>33</v>
      </c>
      <c r="AP23" s="3"/>
      <c r="AQ23" s="3">
        <v>5.94</v>
      </c>
      <c r="AR23" s="3">
        <v>5.71</v>
      </c>
      <c r="AS23" s="1">
        <f>AVERAGE(AQ23:AQ27)</f>
        <v>5.4979999999999993</v>
      </c>
      <c r="AT23" s="1">
        <f>AVERAGE(AR23:AR27)</f>
        <v>7.2959999999999994</v>
      </c>
      <c r="AU23" s="1">
        <f>AT23/AS23</f>
        <v>1.3270280101855221</v>
      </c>
    </row>
    <row r="24" spans="1:47" x14ac:dyDescent="0.25">
      <c r="A24" s="1"/>
      <c r="B24" s="2"/>
      <c r="C24" s="1">
        <v>0.28999999999999998</v>
      </c>
      <c r="D24" s="1">
        <v>3.71</v>
      </c>
      <c r="E24" s="1"/>
      <c r="F24" s="1"/>
      <c r="G24" s="1"/>
      <c r="H24" s="3"/>
      <c r="I24" s="3"/>
      <c r="J24" s="2"/>
      <c r="K24" s="1">
        <v>2.77</v>
      </c>
      <c r="L24" s="1">
        <v>10.41</v>
      </c>
      <c r="M24" s="1"/>
      <c r="N24" s="1"/>
      <c r="O24" s="1"/>
      <c r="P24" s="3"/>
      <c r="Q24" s="3"/>
      <c r="R24" s="2"/>
      <c r="S24" s="3">
        <v>5.09</v>
      </c>
      <c r="T24" s="3">
        <v>10.130000000000001</v>
      </c>
      <c r="U24" s="1"/>
      <c r="V24" s="1"/>
      <c r="W24" s="1"/>
      <c r="X24" s="3"/>
      <c r="Y24" s="3"/>
      <c r="Z24" s="3"/>
      <c r="AA24" s="3">
        <v>1.85</v>
      </c>
      <c r="AB24" s="3">
        <v>9.1300000000000008</v>
      </c>
      <c r="AC24" s="1"/>
      <c r="AD24" s="1"/>
      <c r="AE24" s="1"/>
      <c r="AF24" s="3"/>
      <c r="AG24" s="3"/>
      <c r="AH24" s="3"/>
      <c r="AI24" s="3">
        <v>0.18</v>
      </c>
      <c r="AJ24" s="3">
        <v>3.11</v>
      </c>
      <c r="AK24" s="1"/>
      <c r="AL24" s="1"/>
      <c r="AM24" s="1"/>
      <c r="AN24" s="3"/>
      <c r="AO24" s="3"/>
      <c r="AP24" s="3"/>
      <c r="AQ24" s="3">
        <v>4.76</v>
      </c>
      <c r="AR24" s="3">
        <v>6.58</v>
      </c>
      <c r="AS24" s="1"/>
      <c r="AT24" s="1"/>
      <c r="AU24" s="1"/>
    </row>
    <row r="25" spans="1:47" x14ac:dyDescent="0.25">
      <c r="A25" s="1"/>
      <c r="B25" s="2"/>
      <c r="C25" s="1">
        <v>1.61</v>
      </c>
      <c r="D25" s="1">
        <v>2.15</v>
      </c>
      <c r="E25" s="1"/>
      <c r="F25" s="1"/>
      <c r="G25" s="1"/>
      <c r="H25" s="3"/>
      <c r="I25" s="1"/>
      <c r="J25" s="2"/>
      <c r="K25" s="1">
        <v>4.5</v>
      </c>
      <c r="L25" s="1">
        <v>7.59</v>
      </c>
      <c r="M25" s="1"/>
      <c r="N25" s="1"/>
      <c r="O25" s="1"/>
      <c r="P25" s="3"/>
      <c r="Q25" s="3"/>
      <c r="R25" s="2"/>
      <c r="S25" s="3">
        <v>4.91</v>
      </c>
      <c r="T25" s="3">
        <v>10.4</v>
      </c>
      <c r="U25" s="1"/>
      <c r="V25" s="1"/>
      <c r="W25" s="1"/>
      <c r="X25" s="3"/>
      <c r="Y25" s="3"/>
      <c r="Z25" s="3"/>
      <c r="AA25" s="3">
        <v>1.78</v>
      </c>
      <c r="AB25" s="3">
        <v>5.21</v>
      </c>
      <c r="AC25" s="1"/>
      <c r="AD25" s="1"/>
      <c r="AE25" s="1"/>
      <c r="AF25" s="3"/>
      <c r="AG25" s="3"/>
      <c r="AH25" s="3"/>
      <c r="AI25" s="3">
        <v>0.11</v>
      </c>
      <c r="AJ25" s="3">
        <v>5.66</v>
      </c>
      <c r="AK25" s="1"/>
      <c r="AL25" s="1"/>
      <c r="AM25" s="1"/>
      <c r="AN25" s="3"/>
      <c r="AO25" s="3"/>
      <c r="AP25" s="3"/>
      <c r="AQ25" s="3">
        <v>3.22</v>
      </c>
      <c r="AR25" s="3">
        <v>9.41</v>
      </c>
      <c r="AS25" s="1"/>
      <c r="AT25" s="1"/>
      <c r="AU25" s="1"/>
    </row>
    <row r="26" spans="1:47" x14ac:dyDescent="0.25">
      <c r="A26" s="1"/>
      <c r="B26" s="2"/>
      <c r="C26" s="1">
        <v>0.12</v>
      </c>
      <c r="D26" s="1">
        <v>5.31</v>
      </c>
      <c r="E26" s="1"/>
      <c r="F26" s="1"/>
      <c r="G26" s="1"/>
      <c r="H26" s="3"/>
      <c r="I26" s="1"/>
      <c r="J26" s="2"/>
      <c r="K26" s="1">
        <v>7.12</v>
      </c>
      <c r="L26" s="1">
        <v>4.63</v>
      </c>
      <c r="M26" s="1"/>
      <c r="N26" s="1"/>
      <c r="O26" s="1"/>
      <c r="P26" s="3"/>
      <c r="Q26" s="3"/>
      <c r="R26" s="2"/>
      <c r="S26" s="3">
        <v>3.57</v>
      </c>
      <c r="T26" s="3">
        <v>7.02</v>
      </c>
      <c r="U26" s="1"/>
      <c r="V26" s="1"/>
      <c r="W26" s="1"/>
      <c r="X26" s="3"/>
      <c r="Y26" s="3"/>
      <c r="Z26" s="3"/>
      <c r="AA26" s="3">
        <v>1.96</v>
      </c>
      <c r="AB26" s="3">
        <v>9.99</v>
      </c>
      <c r="AC26" s="1"/>
      <c r="AD26" s="1"/>
      <c r="AE26" s="1"/>
      <c r="AF26" s="3"/>
      <c r="AG26" s="3"/>
      <c r="AH26" s="3"/>
      <c r="AI26" s="3">
        <v>0.89</v>
      </c>
      <c r="AJ26" s="3">
        <v>1.61</v>
      </c>
      <c r="AK26" s="1"/>
      <c r="AL26" s="1"/>
      <c r="AM26" s="1"/>
      <c r="AN26" s="3"/>
      <c r="AO26" s="3"/>
      <c r="AP26" s="3"/>
      <c r="AQ26" s="3">
        <v>5.23</v>
      </c>
      <c r="AR26" s="3">
        <v>7.07</v>
      </c>
      <c r="AS26" s="1"/>
      <c r="AT26" s="1"/>
      <c r="AU26" s="1"/>
    </row>
    <row r="27" spans="1:47" x14ac:dyDescent="0.25">
      <c r="A27" s="1"/>
      <c r="B27" s="2"/>
      <c r="C27" s="1">
        <v>1.75</v>
      </c>
      <c r="D27" s="1">
        <v>10.57</v>
      </c>
      <c r="E27" s="1"/>
      <c r="F27" s="1"/>
      <c r="G27" s="1"/>
      <c r="H27" s="3"/>
      <c r="I27" s="1"/>
      <c r="J27" s="2"/>
      <c r="K27" s="1">
        <v>5.26</v>
      </c>
      <c r="L27" s="3">
        <v>3.22</v>
      </c>
      <c r="M27" s="1"/>
      <c r="N27" s="1"/>
      <c r="O27" s="1"/>
      <c r="P27" s="3"/>
      <c r="Q27" s="3"/>
      <c r="R27" s="2"/>
      <c r="S27" s="3">
        <v>4.49</v>
      </c>
      <c r="T27" s="3">
        <v>7.49</v>
      </c>
      <c r="U27" s="1"/>
      <c r="V27" s="1"/>
      <c r="W27" s="1"/>
      <c r="X27" s="3"/>
      <c r="Y27" s="3"/>
      <c r="Z27" s="3"/>
      <c r="AA27" s="3">
        <v>2.72</v>
      </c>
      <c r="AB27" s="3">
        <v>6.65</v>
      </c>
      <c r="AC27" s="1"/>
      <c r="AD27" s="1"/>
      <c r="AE27" s="1"/>
      <c r="AF27" s="3"/>
      <c r="AG27" s="3"/>
      <c r="AH27" s="3"/>
      <c r="AI27" s="3">
        <v>0.15</v>
      </c>
      <c r="AJ27" s="3">
        <v>3.02</v>
      </c>
      <c r="AK27" s="1"/>
      <c r="AL27" s="1"/>
      <c r="AM27" s="1"/>
      <c r="AN27" s="3"/>
      <c r="AO27" s="3"/>
      <c r="AP27" s="3"/>
      <c r="AQ27" s="3">
        <v>8.34</v>
      </c>
      <c r="AR27" s="3">
        <v>7.71</v>
      </c>
      <c r="AS27" s="1"/>
      <c r="AT27" s="1"/>
      <c r="AU27" s="1"/>
    </row>
    <row r="28" spans="1:47" x14ac:dyDescent="0.25">
      <c r="A28" s="4"/>
      <c r="B28" s="4"/>
      <c r="C28" s="4"/>
      <c r="D28" s="4"/>
      <c r="E28" s="4" t="e">
        <f>AVERAGE(C28:C32)</f>
        <v>#DIV/0!</v>
      </c>
      <c r="F28" s="4" t="e">
        <f>AVERAGE(D28:D32)</f>
        <v>#DIV/0!</v>
      </c>
      <c r="G28" s="4" t="e">
        <f>F28/E28</f>
        <v>#DIV/0!</v>
      </c>
      <c r="H28" s="6"/>
      <c r="I28" s="4" t="s">
        <v>15</v>
      </c>
      <c r="J28" s="6"/>
      <c r="K28" s="6">
        <v>5.08</v>
      </c>
      <c r="L28" s="6">
        <v>4.67</v>
      </c>
      <c r="M28" s="4">
        <f>AVERAGE(K28:K32)</f>
        <v>6.7600000000000007</v>
      </c>
      <c r="N28" s="4">
        <f>AVERAGE(L28:L32)</f>
        <v>5.0520000000000005</v>
      </c>
      <c r="O28" s="4">
        <f>N28/M28</f>
        <v>0.74733727810650885</v>
      </c>
      <c r="P28" s="6"/>
      <c r="Q28" s="6" t="s">
        <v>11</v>
      </c>
      <c r="R28" s="6"/>
      <c r="S28" s="6">
        <v>4.51</v>
      </c>
      <c r="T28" s="6">
        <v>9.5500000000000007</v>
      </c>
      <c r="U28" s="4">
        <f>AVERAGE(S28:S32)</f>
        <v>4.66</v>
      </c>
      <c r="V28" s="4">
        <f>AVERAGE(T28:T32)</f>
        <v>8.0079999999999991</v>
      </c>
      <c r="W28" s="4">
        <f>V28/U28</f>
        <v>1.7184549356223173</v>
      </c>
      <c r="X28" s="6"/>
      <c r="Y28" s="6" t="s">
        <v>32</v>
      </c>
      <c r="Z28" s="6"/>
      <c r="AA28" s="6">
        <v>0.34</v>
      </c>
      <c r="AB28" s="6">
        <v>5.14</v>
      </c>
      <c r="AC28" s="4">
        <f>AVERAGE(AA28:AA32)</f>
        <v>0.26800000000000002</v>
      </c>
      <c r="AD28" s="4">
        <f>AVERAGE(AB28:AB32)</f>
        <v>6.5720000000000001</v>
      </c>
      <c r="AE28" s="4">
        <f>AD28/AC28</f>
        <v>24.522388059701491</v>
      </c>
      <c r="AF28" s="6"/>
      <c r="AG28" s="6" t="s">
        <v>29</v>
      </c>
      <c r="AH28" s="6"/>
      <c r="AI28" s="6">
        <v>0.55000000000000004</v>
      </c>
      <c r="AJ28" s="6">
        <v>5.19</v>
      </c>
      <c r="AK28" s="4">
        <f>AVERAGE(AI28:AI32)</f>
        <v>1.5580000000000001</v>
      </c>
      <c r="AL28" s="4">
        <f>AVERAGE(AJ28:AJ32)</f>
        <v>5.4500000000000011</v>
      </c>
      <c r="AM28" s="4">
        <f>AL28/AK28</f>
        <v>3.4980744544287554</v>
      </c>
      <c r="AN28" s="6"/>
      <c r="AO28" s="6" t="s">
        <v>34</v>
      </c>
      <c r="AP28" s="6"/>
      <c r="AQ28" s="6">
        <v>2.58</v>
      </c>
      <c r="AR28" s="6">
        <v>5.3</v>
      </c>
      <c r="AS28" s="4">
        <f>AVERAGE(AQ28:AQ32)</f>
        <v>3.0840000000000001</v>
      </c>
      <c r="AT28" s="4">
        <f>AVERAGE(AR28:AR32)</f>
        <v>8.5719999999999992</v>
      </c>
      <c r="AU28" s="4">
        <f>AT28/AS28</f>
        <v>2.7795071335927362</v>
      </c>
    </row>
    <row r="29" spans="1:47" x14ac:dyDescent="0.25">
      <c r="A29" s="4"/>
      <c r="B29" s="4"/>
      <c r="C29" s="4"/>
      <c r="D29" s="4"/>
      <c r="E29" s="4"/>
      <c r="F29" s="4"/>
      <c r="G29" s="4"/>
      <c r="H29" s="6"/>
      <c r="I29" s="6"/>
      <c r="J29" s="6"/>
      <c r="K29" s="6">
        <v>7.04</v>
      </c>
      <c r="L29" s="6">
        <v>3.37</v>
      </c>
      <c r="M29" s="6"/>
      <c r="N29" s="6"/>
      <c r="O29" s="6"/>
      <c r="P29" s="6"/>
      <c r="Q29" s="6"/>
      <c r="R29" s="6"/>
      <c r="S29" s="6">
        <v>4.5599999999999996</v>
      </c>
      <c r="T29" s="6">
        <v>10.14</v>
      </c>
      <c r="U29" s="6"/>
      <c r="V29" s="6"/>
      <c r="W29" s="6"/>
      <c r="X29" s="6"/>
      <c r="Y29" s="6"/>
      <c r="Z29" s="6"/>
      <c r="AA29" s="6">
        <v>0.04</v>
      </c>
      <c r="AB29" s="6">
        <v>12.59</v>
      </c>
      <c r="AC29" s="6"/>
      <c r="AD29" s="6"/>
      <c r="AE29" s="6"/>
      <c r="AF29" s="6"/>
      <c r="AG29" s="6"/>
      <c r="AH29" s="6"/>
      <c r="AI29" s="6">
        <v>1.54</v>
      </c>
      <c r="AJ29" s="6">
        <v>4.37</v>
      </c>
      <c r="AK29" s="6"/>
      <c r="AL29" s="6"/>
      <c r="AM29" s="6"/>
      <c r="AN29" s="6"/>
      <c r="AO29" s="6"/>
      <c r="AP29" s="6"/>
      <c r="AQ29" s="6">
        <v>2.8</v>
      </c>
      <c r="AR29" s="6">
        <v>2.2799999999999998</v>
      </c>
      <c r="AS29" s="6"/>
      <c r="AT29" s="6"/>
      <c r="AU29" s="6"/>
    </row>
    <row r="30" spans="1:47" x14ac:dyDescent="0.25">
      <c r="A30" s="4"/>
      <c r="B30" s="4"/>
      <c r="C30" s="4"/>
      <c r="D30" s="4"/>
      <c r="E30" s="4"/>
      <c r="F30" s="4"/>
      <c r="G30" s="4"/>
      <c r="H30" s="6"/>
      <c r="I30" s="6"/>
      <c r="J30" s="6"/>
      <c r="K30" s="6">
        <v>10.58</v>
      </c>
      <c r="L30" s="4">
        <v>4.55</v>
      </c>
      <c r="M30" s="6"/>
      <c r="N30" s="6"/>
      <c r="O30" s="6"/>
      <c r="P30" s="6"/>
      <c r="Q30" s="6"/>
      <c r="R30" s="6"/>
      <c r="S30" s="6">
        <v>5.22</v>
      </c>
      <c r="T30" s="6">
        <v>4.49</v>
      </c>
      <c r="U30" s="6"/>
      <c r="V30" s="6"/>
      <c r="W30" s="6"/>
      <c r="X30" s="6"/>
      <c r="Y30" s="6"/>
      <c r="Z30" s="6"/>
      <c r="AA30" s="6">
        <v>0.39</v>
      </c>
      <c r="AB30" s="6">
        <v>4.38</v>
      </c>
      <c r="AC30" s="6"/>
      <c r="AD30" s="6"/>
      <c r="AE30" s="6"/>
      <c r="AF30" s="6"/>
      <c r="AG30" s="6"/>
      <c r="AH30" s="6"/>
      <c r="AI30" s="6">
        <v>4.25</v>
      </c>
      <c r="AJ30" s="6">
        <v>7.36</v>
      </c>
      <c r="AK30" s="6"/>
      <c r="AL30" s="6"/>
      <c r="AM30" s="6"/>
      <c r="AN30" s="6"/>
      <c r="AO30" s="6"/>
      <c r="AP30" s="6"/>
      <c r="AQ30" s="6">
        <v>2.96</v>
      </c>
      <c r="AR30" s="6">
        <v>8.0399999999999991</v>
      </c>
      <c r="AS30" s="6"/>
      <c r="AT30" s="6"/>
      <c r="AU30" s="6"/>
    </row>
    <row r="31" spans="1:47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>
        <v>5.07</v>
      </c>
      <c r="L31" s="6">
        <v>4.21</v>
      </c>
      <c r="M31" s="4"/>
      <c r="N31" s="4"/>
      <c r="O31" s="4"/>
      <c r="P31" s="6"/>
      <c r="Q31" s="4"/>
      <c r="R31" s="4"/>
      <c r="S31" s="4">
        <v>4.03</v>
      </c>
      <c r="T31" s="4">
        <v>6.74</v>
      </c>
      <c r="U31" s="4"/>
      <c r="V31" s="4"/>
      <c r="W31" s="4"/>
      <c r="X31" s="6"/>
      <c r="Y31" s="4"/>
      <c r="Z31" s="4"/>
      <c r="AA31" s="4">
        <v>0.23</v>
      </c>
      <c r="AB31" s="4">
        <v>4.51</v>
      </c>
      <c r="AC31" s="4"/>
      <c r="AD31" s="4"/>
      <c r="AE31" s="4"/>
      <c r="AF31" s="6"/>
      <c r="AG31" s="6"/>
      <c r="AH31" s="6"/>
      <c r="AI31" s="6">
        <v>1.29</v>
      </c>
      <c r="AJ31" s="6">
        <v>5.28</v>
      </c>
      <c r="AK31" s="6"/>
      <c r="AL31" s="6"/>
      <c r="AM31" s="6"/>
      <c r="AN31" s="6"/>
      <c r="AO31" s="6"/>
      <c r="AP31" s="6"/>
      <c r="AQ31" s="6">
        <v>2.16</v>
      </c>
      <c r="AR31" s="6">
        <v>15.9</v>
      </c>
      <c r="AS31" s="6"/>
      <c r="AT31" s="6"/>
      <c r="AU31" s="6"/>
    </row>
    <row r="32" spans="1:47" x14ac:dyDescent="0.25">
      <c r="A32" s="4"/>
      <c r="B32" s="5"/>
      <c r="C32" s="4"/>
      <c r="D32" s="4"/>
      <c r="E32" s="4"/>
      <c r="F32" s="4"/>
      <c r="G32" s="4"/>
      <c r="H32" s="6"/>
      <c r="I32" s="6"/>
      <c r="J32" s="5"/>
      <c r="K32" s="6">
        <v>6.03</v>
      </c>
      <c r="L32" s="4">
        <v>8.4600000000000009</v>
      </c>
      <c r="M32" s="4"/>
      <c r="N32" s="4"/>
      <c r="O32" s="4"/>
      <c r="P32" s="6"/>
      <c r="Q32" s="6"/>
      <c r="R32" s="5"/>
      <c r="S32" s="6">
        <v>4.9800000000000004</v>
      </c>
      <c r="T32" s="6">
        <v>9.1199999999999992</v>
      </c>
      <c r="U32" s="4"/>
      <c r="V32" s="4"/>
      <c r="W32" s="4"/>
      <c r="X32" s="6"/>
      <c r="Y32" s="6"/>
      <c r="Z32" s="5"/>
      <c r="AA32" s="6">
        <v>0.34</v>
      </c>
      <c r="AB32" s="6">
        <v>6.24</v>
      </c>
      <c r="AC32" s="4"/>
      <c r="AD32" s="4"/>
      <c r="AE32" s="4"/>
      <c r="AF32" s="6"/>
      <c r="AG32" s="6"/>
      <c r="AH32" s="6"/>
      <c r="AI32" s="6">
        <v>0.16</v>
      </c>
      <c r="AJ32" s="6">
        <v>5.05</v>
      </c>
      <c r="AK32" s="6"/>
      <c r="AL32" s="6"/>
      <c r="AM32" s="6"/>
      <c r="AN32" s="6"/>
      <c r="AO32" s="6"/>
      <c r="AP32" s="6"/>
      <c r="AQ32" s="6">
        <v>4.92</v>
      </c>
      <c r="AR32" s="6">
        <v>11.34</v>
      </c>
      <c r="AS32" s="6"/>
      <c r="AT32" s="6"/>
      <c r="AU32" s="6"/>
    </row>
  </sheetData>
  <mergeCells count="6">
    <mergeCell ref="AO1:AU1"/>
    <mergeCell ref="A1:G1"/>
    <mergeCell ref="I1:O1"/>
    <mergeCell ref="Q1:W1"/>
    <mergeCell ref="Y1:AE1"/>
    <mergeCell ref="AG1:A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5079-0890-8C42-AEED-A8E9B360F8BE}">
  <dimension ref="A1:AU32"/>
  <sheetViews>
    <sheetView topLeftCell="H1" zoomScale="55" zoomScaleNormal="55" workbookViewId="0">
      <selection activeCell="L37" sqref="L37"/>
    </sheetView>
  </sheetViews>
  <sheetFormatPr defaultColWidth="11" defaultRowHeight="15.75" x14ac:dyDescent="0.25"/>
  <sheetData>
    <row r="1" spans="1:47" x14ac:dyDescent="0.25">
      <c r="A1" s="54" t="s">
        <v>162</v>
      </c>
      <c r="B1" s="54"/>
      <c r="C1" s="54"/>
      <c r="D1" s="54"/>
      <c r="E1" s="54"/>
      <c r="F1" s="54"/>
      <c r="G1" s="54"/>
      <c r="H1" s="3"/>
      <c r="I1" s="54" t="s">
        <v>163</v>
      </c>
      <c r="J1" s="54"/>
      <c r="K1" s="54"/>
      <c r="L1" s="54"/>
      <c r="M1" s="54"/>
      <c r="N1" s="54"/>
      <c r="O1" s="54"/>
      <c r="P1" s="3"/>
      <c r="Q1" s="54" t="s">
        <v>164</v>
      </c>
      <c r="R1" s="54"/>
      <c r="S1" s="54"/>
      <c r="T1" s="54"/>
      <c r="U1" s="54"/>
      <c r="V1" s="54"/>
      <c r="W1" s="54"/>
      <c r="X1" s="3"/>
      <c r="Y1" s="54" t="s">
        <v>165</v>
      </c>
      <c r="Z1" s="54"/>
      <c r="AA1" s="54"/>
      <c r="AB1" s="54"/>
      <c r="AC1" s="54"/>
      <c r="AD1" s="54"/>
      <c r="AE1" s="54"/>
      <c r="AF1" s="3"/>
      <c r="AG1" s="54" t="s">
        <v>166</v>
      </c>
      <c r="AH1" s="54"/>
      <c r="AI1" s="54"/>
      <c r="AJ1" s="54"/>
      <c r="AK1" s="54"/>
      <c r="AL1" s="54"/>
      <c r="AM1" s="54"/>
      <c r="AN1" s="3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/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3"/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3"/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3"/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3"/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5">
      <c r="A3" s="1" t="s">
        <v>12</v>
      </c>
      <c r="B3" s="2">
        <v>45356</v>
      </c>
      <c r="C3" s="1">
        <v>1.57</v>
      </c>
      <c r="D3" s="1">
        <v>5.88</v>
      </c>
      <c r="E3" s="1">
        <f>AVERAGE(C3:C7)</f>
        <v>5.03</v>
      </c>
      <c r="F3" s="1">
        <f>AVERAGE(D3:D7)</f>
        <v>8.0519999999999996</v>
      </c>
      <c r="G3" s="1">
        <f>F3/E3</f>
        <v>1.6007952286282305</v>
      </c>
      <c r="H3" s="3"/>
      <c r="I3" s="1" t="s">
        <v>21</v>
      </c>
      <c r="J3" s="2">
        <v>45356</v>
      </c>
      <c r="K3" s="1">
        <v>2.5099999999999998</v>
      </c>
      <c r="L3" s="1">
        <v>6.48</v>
      </c>
      <c r="M3" s="1">
        <f>AVERAGE(K3:K7)</f>
        <v>2.9279999999999999</v>
      </c>
      <c r="N3" s="1">
        <f>AVERAGE(L3:L7)</f>
        <v>8.484</v>
      </c>
      <c r="O3" s="1">
        <f>N3/M3</f>
        <v>2.8975409836065573</v>
      </c>
      <c r="P3" s="3"/>
      <c r="Q3" s="3" t="s">
        <v>17</v>
      </c>
      <c r="R3" s="2">
        <v>45357</v>
      </c>
      <c r="S3" s="3">
        <v>0.08</v>
      </c>
      <c r="T3" s="3">
        <v>6.21</v>
      </c>
      <c r="U3" s="1">
        <f>AVERAGE(S3:S7)</f>
        <v>0.96000000000000019</v>
      </c>
      <c r="V3" s="1">
        <f>AVERAGE(T3:T7)</f>
        <v>8.5019999999999989</v>
      </c>
      <c r="W3" s="1">
        <f>V3/U3</f>
        <v>8.8562499999999975</v>
      </c>
      <c r="X3" s="3"/>
      <c r="Y3" s="3" t="s">
        <v>25</v>
      </c>
      <c r="Z3" s="2">
        <v>45357</v>
      </c>
      <c r="AA3" s="3">
        <v>5.39</v>
      </c>
      <c r="AB3" s="3">
        <v>7.98</v>
      </c>
      <c r="AC3" s="1">
        <f>AVERAGE(AA3:AA7)</f>
        <v>5.1219999999999999</v>
      </c>
      <c r="AD3" s="1">
        <f>AVERAGE(AB3:AB7)</f>
        <v>4.5980000000000008</v>
      </c>
      <c r="AE3" s="1">
        <f>AD3/AC3</f>
        <v>0.8976962124170248</v>
      </c>
      <c r="AF3" s="3"/>
      <c r="AG3" s="3" t="s">
        <v>35</v>
      </c>
      <c r="AH3" s="53">
        <v>45359</v>
      </c>
      <c r="AI3" s="3">
        <v>4.8099999999999996</v>
      </c>
      <c r="AJ3" s="3">
        <v>9.4</v>
      </c>
      <c r="AK3" s="1">
        <f>AVERAGE(AI3:AI7)</f>
        <v>5.7180000000000009</v>
      </c>
      <c r="AL3" s="1">
        <f>AVERAGE(AJ3:AJ7)</f>
        <v>6.3460000000000001</v>
      </c>
      <c r="AM3" s="1">
        <f>AL3/AK3</f>
        <v>1.1098286114025881</v>
      </c>
      <c r="AN3" s="3"/>
      <c r="AO3" s="3" t="s">
        <v>39</v>
      </c>
      <c r="AP3" s="53">
        <v>45359</v>
      </c>
      <c r="AQ3" s="3">
        <v>1.75</v>
      </c>
      <c r="AR3" s="3">
        <v>5.04</v>
      </c>
      <c r="AS3" s="1">
        <f>AVERAGE(AQ3:AQ7)</f>
        <v>1.9319999999999999</v>
      </c>
      <c r="AT3" s="1">
        <f>AVERAGE(AR3:AR7)</f>
        <v>7.2939999999999996</v>
      </c>
      <c r="AU3" s="1">
        <f>AT3/AS3</f>
        <v>3.7753623188405796</v>
      </c>
    </row>
    <row r="4" spans="1:47" x14ac:dyDescent="0.25">
      <c r="A4" s="1"/>
      <c r="B4" s="2"/>
      <c r="C4" s="1">
        <v>4.28</v>
      </c>
      <c r="D4" s="1">
        <v>8.91</v>
      </c>
      <c r="E4" s="1"/>
      <c r="F4" s="1"/>
      <c r="G4" s="1"/>
      <c r="H4" s="3"/>
      <c r="I4" s="3"/>
      <c r="K4" s="1">
        <v>3.59</v>
      </c>
      <c r="L4" s="1">
        <v>9.48</v>
      </c>
      <c r="M4" s="1"/>
      <c r="N4" s="1"/>
      <c r="O4" s="1"/>
      <c r="P4" s="3"/>
      <c r="Q4" s="3"/>
      <c r="R4" s="2"/>
      <c r="S4" s="3">
        <v>1.37</v>
      </c>
      <c r="T4" s="3">
        <v>5.82</v>
      </c>
      <c r="U4" s="1"/>
      <c r="V4" s="1"/>
      <c r="W4" s="1"/>
      <c r="X4" s="3"/>
      <c r="Y4" s="3"/>
      <c r="Z4" s="2"/>
      <c r="AA4" s="3">
        <v>6.03</v>
      </c>
      <c r="AB4" s="3">
        <v>2.23</v>
      </c>
      <c r="AC4" s="1"/>
      <c r="AD4" s="1"/>
      <c r="AE4" s="1"/>
      <c r="AF4" s="3"/>
      <c r="AG4" s="3"/>
      <c r="AH4" s="3"/>
      <c r="AI4" s="3">
        <v>10.47</v>
      </c>
      <c r="AJ4" s="3">
        <v>3.78</v>
      </c>
      <c r="AK4" s="1"/>
      <c r="AL4" s="1"/>
      <c r="AM4" s="1"/>
      <c r="AN4" s="3"/>
      <c r="AO4" s="3"/>
      <c r="AP4" s="3"/>
      <c r="AQ4" s="3">
        <v>5.2</v>
      </c>
      <c r="AR4" s="3">
        <v>2.7</v>
      </c>
      <c r="AS4" s="1"/>
      <c r="AT4" s="1"/>
      <c r="AU4" s="1"/>
    </row>
    <row r="5" spans="1:47" x14ac:dyDescent="0.25">
      <c r="A5" s="1"/>
      <c r="B5" s="2"/>
      <c r="C5" s="1">
        <v>9.43</v>
      </c>
      <c r="D5" s="1">
        <v>5.14</v>
      </c>
      <c r="E5" s="1"/>
      <c r="F5" s="1"/>
      <c r="G5" s="1"/>
      <c r="H5" s="3"/>
      <c r="I5" s="3"/>
      <c r="J5" s="2"/>
      <c r="K5" s="1">
        <v>3.04</v>
      </c>
      <c r="L5" s="1">
        <v>7.82</v>
      </c>
      <c r="M5" s="1"/>
      <c r="N5" s="1"/>
      <c r="O5" s="1"/>
      <c r="P5" s="3"/>
      <c r="Q5" s="3"/>
      <c r="R5" s="2"/>
      <c r="S5" s="3">
        <v>2.44</v>
      </c>
      <c r="T5" s="3">
        <v>12.72</v>
      </c>
      <c r="U5" s="1"/>
      <c r="V5" s="1"/>
      <c r="W5" s="1"/>
      <c r="X5" s="3"/>
      <c r="Y5" s="3"/>
      <c r="Z5" s="2"/>
      <c r="AA5" s="3">
        <v>5.24</v>
      </c>
      <c r="AB5" s="3">
        <v>4.3899999999999997</v>
      </c>
      <c r="AC5" s="1"/>
      <c r="AD5" s="1"/>
      <c r="AE5" s="1"/>
      <c r="AF5" s="3"/>
      <c r="AG5" s="3"/>
      <c r="AH5" s="3"/>
      <c r="AI5" s="3">
        <v>8.49</v>
      </c>
      <c r="AJ5" s="3">
        <v>9.64</v>
      </c>
      <c r="AK5" s="1"/>
      <c r="AL5" s="1"/>
      <c r="AM5" s="1"/>
      <c r="AN5" s="3"/>
      <c r="AO5" s="3"/>
      <c r="AP5" s="3"/>
      <c r="AQ5" s="3">
        <v>1.01</v>
      </c>
      <c r="AR5" s="3">
        <v>8.99</v>
      </c>
      <c r="AS5" s="1"/>
      <c r="AT5" s="1"/>
      <c r="AU5" s="1"/>
    </row>
    <row r="6" spans="1:47" x14ac:dyDescent="0.25">
      <c r="A6" s="1"/>
      <c r="B6" s="2"/>
      <c r="C6" s="1">
        <v>4.2300000000000004</v>
      </c>
      <c r="D6" s="1">
        <v>10.51</v>
      </c>
      <c r="E6" s="1"/>
      <c r="F6" s="1"/>
      <c r="G6" s="1"/>
      <c r="H6" s="3"/>
      <c r="I6" s="3"/>
      <c r="J6" s="2"/>
      <c r="K6" s="1">
        <v>1.31</v>
      </c>
      <c r="L6" s="1">
        <v>7.78</v>
      </c>
      <c r="M6" s="1"/>
      <c r="N6" s="1"/>
      <c r="O6" s="1"/>
      <c r="P6" s="3"/>
      <c r="Q6" s="3"/>
      <c r="R6" s="2"/>
      <c r="S6" s="3">
        <v>0.34</v>
      </c>
      <c r="T6" s="3">
        <v>8.18</v>
      </c>
      <c r="U6" s="1"/>
      <c r="V6" s="1"/>
      <c r="W6" s="1"/>
      <c r="X6" s="3"/>
      <c r="Y6" s="3"/>
      <c r="Z6" s="2"/>
      <c r="AA6" s="3">
        <v>5.49</v>
      </c>
      <c r="AB6" s="3">
        <v>3.16</v>
      </c>
      <c r="AC6" s="1"/>
      <c r="AD6" s="1"/>
      <c r="AE6" s="1"/>
      <c r="AF6" s="3"/>
      <c r="AG6" s="3"/>
      <c r="AH6" s="3"/>
      <c r="AI6" s="3">
        <v>1.41</v>
      </c>
      <c r="AJ6" s="3">
        <v>6.62</v>
      </c>
      <c r="AK6" s="1"/>
      <c r="AL6" s="1"/>
      <c r="AM6" s="1"/>
      <c r="AN6" s="3"/>
      <c r="AO6" s="3"/>
      <c r="AP6" s="3"/>
      <c r="AQ6" s="3">
        <v>0.1</v>
      </c>
      <c r="AR6" s="3">
        <v>5.74</v>
      </c>
      <c r="AS6" s="1"/>
      <c r="AT6" s="1"/>
      <c r="AU6" s="1"/>
    </row>
    <row r="7" spans="1:47" x14ac:dyDescent="0.25">
      <c r="A7" s="1"/>
      <c r="B7" s="2"/>
      <c r="C7" s="1">
        <v>5.64</v>
      </c>
      <c r="D7" s="1">
        <v>9.82</v>
      </c>
      <c r="E7" s="1"/>
      <c r="F7" s="1"/>
      <c r="G7" s="1"/>
      <c r="H7" s="3"/>
      <c r="I7" s="1"/>
      <c r="J7" s="2"/>
      <c r="K7" s="1">
        <v>4.1900000000000004</v>
      </c>
      <c r="L7" s="1">
        <v>10.86</v>
      </c>
      <c r="M7" s="1"/>
      <c r="N7" s="1"/>
      <c r="O7" s="1"/>
      <c r="P7" s="3"/>
      <c r="Q7" s="3"/>
      <c r="R7" s="2"/>
      <c r="S7" s="3">
        <v>0.56999999999999995</v>
      </c>
      <c r="T7" s="3">
        <v>9.58</v>
      </c>
      <c r="U7" s="1"/>
      <c r="V7" s="1"/>
      <c r="W7" s="1"/>
      <c r="X7" s="3"/>
      <c r="Y7" s="3"/>
      <c r="Z7" s="2"/>
      <c r="AA7" s="3">
        <v>3.46</v>
      </c>
      <c r="AB7" s="3">
        <v>5.23</v>
      </c>
      <c r="AC7" s="1"/>
      <c r="AD7" s="1"/>
      <c r="AE7" s="1"/>
      <c r="AF7" s="3"/>
      <c r="AG7" s="3"/>
      <c r="AH7" s="3"/>
      <c r="AI7" s="3">
        <v>3.41</v>
      </c>
      <c r="AJ7" s="3">
        <v>2.29</v>
      </c>
      <c r="AK7" s="1"/>
      <c r="AL7" s="1"/>
      <c r="AM7" s="1"/>
      <c r="AN7" s="3"/>
      <c r="AO7" s="3"/>
      <c r="AP7" s="3"/>
      <c r="AQ7" s="3">
        <v>1.6</v>
      </c>
      <c r="AR7" s="3">
        <v>14</v>
      </c>
      <c r="AS7" s="1"/>
      <c r="AT7" s="1"/>
      <c r="AU7" s="1"/>
    </row>
    <row r="8" spans="1:47" x14ac:dyDescent="0.25">
      <c r="A8" s="4" t="s">
        <v>13</v>
      </c>
      <c r="B8" s="5"/>
      <c r="C8" s="4">
        <v>4.3099999999999996</v>
      </c>
      <c r="D8" s="4">
        <v>7.58</v>
      </c>
      <c r="E8" s="4">
        <f>AVERAGE(C8:C12)</f>
        <v>5.38</v>
      </c>
      <c r="F8" s="4">
        <f>AVERAGE(D8:D12)</f>
        <v>6.9179999999999993</v>
      </c>
      <c r="G8" s="4">
        <f>F8/E8</f>
        <v>1.2858736059479552</v>
      </c>
      <c r="H8" s="6"/>
      <c r="I8" s="4" t="s">
        <v>22</v>
      </c>
      <c r="J8" s="5"/>
      <c r="K8" s="4">
        <v>0.01</v>
      </c>
      <c r="L8" s="4">
        <v>3.08</v>
      </c>
      <c r="M8" s="4">
        <f>AVERAGE(K8:K12)</f>
        <v>0.156</v>
      </c>
      <c r="N8" s="4">
        <f>AVERAGE(L8:L12)</f>
        <v>6.5959999999999992</v>
      </c>
      <c r="O8" s="4">
        <f>N8/M8</f>
        <v>42.282051282051277</v>
      </c>
      <c r="P8" s="6"/>
      <c r="Q8" s="6" t="s">
        <v>18</v>
      </c>
      <c r="R8" s="5"/>
      <c r="S8" s="6">
        <v>0.12</v>
      </c>
      <c r="T8" s="6">
        <v>13.13</v>
      </c>
      <c r="U8" s="4">
        <f>AVERAGE(S8:S12)</f>
        <v>0.70399999999999996</v>
      </c>
      <c r="V8" s="4">
        <f>AVERAGE(T8:T12)</f>
        <v>11.280000000000001</v>
      </c>
      <c r="W8" s="4">
        <f>V8/U8</f>
        <v>16.022727272727277</v>
      </c>
      <c r="X8" s="6"/>
      <c r="Y8" s="6" t="s">
        <v>26</v>
      </c>
      <c r="Z8" s="5"/>
      <c r="AA8" s="6">
        <v>3.97</v>
      </c>
      <c r="AB8" s="6">
        <v>4.92</v>
      </c>
      <c r="AC8" s="4">
        <f>AVERAGE(AA8:AA12)</f>
        <v>4.4359999999999999</v>
      </c>
      <c r="AD8" s="4">
        <f>AVERAGE(AB8:AB12)</f>
        <v>7.3519999999999994</v>
      </c>
      <c r="AE8" s="4">
        <f>AD8/AC8</f>
        <v>1.6573489630297564</v>
      </c>
      <c r="AF8" s="6"/>
      <c r="AG8" s="6" t="s">
        <v>36</v>
      </c>
      <c r="AH8" s="6"/>
      <c r="AI8" s="6">
        <v>3.34</v>
      </c>
      <c r="AJ8" s="6">
        <v>3.74</v>
      </c>
      <c r="AK8" s="4">
        <f>AVERAGE(AI8:AI12)</f>
        <v>3.6559999999999997</v>
      </c>
      <c r="AL8" s="4">
        <f>AVERAGE(AJ8:AJ12)</f>
        <v>5.5379999999999994</v>
      </c>
      <c r="AM8" s="4">
        <f>AL8/AK8</f>
        <v>1.5147702407002188</v>
      </c>
      <c r="AN8" s="6"/>
      <c r="AO8" s="6" t="s">
        <v>40</v>
      </c>
      <c r="AP8" s="6"/>
      <c r="AQ8" s="6">
        <v>0.3</v>
      </c>
      <c r="AR8" s="6">
        <v>4.8099999999999996</v>
      </c>
      <c r="AS8" s="4">
        <f>AVERAGE(AQ8:AQ12)</f>
        <v>0.24800000000000005</v>
      </c>
      <c r="AT8" s="4">
        <f>AVERAGE(AR8:AR12)</f>
        <v>2.504</v>
      </c>
      <c r="AU8" s="4">
        <f>AT8/AS8</f>
        <v>10.096774193548384</v>
      </c>
    </row>
    <row r="9" spans="1:47" x14ac:dyDescent="0.25">
      <c r="A9" s="4"/>
      <c r="B9" s="5"/>
      <c r="C9" s="4">
        <v>6.96</v>
      </c>
      <c r="D9" s="4">
        <v>6.66</v>
      </c>
      <c r="E9" s="4"/>
      <c r="F9" s="4"/>
      <c r="G9" s="4"/>
      <c r="H9" s="6"/>
      <c r="I9" s="4"/>
      <c r="J9" s="5"/>
      <c r="K9" s="4">
        <v>0.45</v>
      </c>
      <c r="L9" s="4">
        <v>1.28</v>
      </c>
      <c r="M9" s="4"/>
      <c r="N9" s="4"/>
      <c r="O9" s="4"/>
      <c r="P9" s="6"/>
      <c r="Q9" s="6"/>
      <c r="R9" s="5"/>
      <c r="S9" s="6">
        <v>0.35</v>
      </c>
      <c r="T9" s="6">
        <v>12.93</v>
      </c>
      <c r="U9" s="4"/>
      <c r="V9" s="4"/>
      <c r="W9" s="4"/>
      <c r="X9" s="6"/>
      <c r="Y9" s="6"/>
      <c r="Z9" s="5"/>
      <c r="AA9" s="6">
        <v>4.83</v>
      </c>
      <c r="AB9" s="6">
        <v>3.03</v>
      </c>
      <c r="AC9" s="4"/>
      <c r="AD9" s="4"/>
      <c r="AE9" s="4"/>
      <c r="AF9" s="6"/>
      <c r="AG9" s="6"/>
      <c r="AH9" s="6"/>
      <c r="AI9" s="6">
        <v>4.2699999999999996</v>
      </c>
      <c r="AJ9" s="6">
        <v>6.11</v>
      </c>
      <c r="AK9" s="4"/>
      <c r="AL9" s="4"/>
      <c r="AM9" s="4"/>
      <c r="AN9" s="6"/>
      <c r="AO9" s="6"/>
      <c r="AP9" s="6"/>
      <c r="AQ9" s="6">
        <v>0.12</v>
      </c>
      <c r="AR9" s="6">
        <v>1.92</v>
      </c>
      <c r="AS9" s="4"/>
      <c r="AT9" s="4"/>
      <c r="AU9" s="4"/>
    </row>
    <row r="10" spans="1:47" x14ac:dyDescent="0.25">
      <c r="A10" s="4"/>
      <c r="B10" s="5"/>
      <c r="C10" s="4">
        <v>5.17</v>
      </c>
      <c r="D10" s="4">
        <v>9.98</v>
      </c>
      <c r="E10" s="4"/>
      <c r="F10" s="4"/>
      <c r="G10" s="4"/>
      <c r="H10" s="6"/>
      <c r="I10" s="4"/>
      <c r="J10" s="5"/>
      <c r="K10" s="4">
        <v>0.2</v>
      </c>
      <c r="L10" s="4">
        <v>10.68</v>
      </c>
      <c r="M10" s="4"/>
      <c r="N10" s="4"/>
      <c r="O10" s="4"/>
      <c r="P10" s="6"/>
      <c r="Q10" s="6"/>
      <c r="R10" s="5"/>
      <c r="S10" s="6">
        <v>1.01</v>
      </c>
      <c r="T10" s="6">
        <v>11.65</v>
      </c>
      <c r="U10" s="4"/>
      <c r="V10" s="4"/>
      <c r="W10" s="4"/>
      <c r="X10" s="6"/>
      <c r="Y10" s="6"/>
      <c r="Z10" s="5"/>
      <c r="AA10" s="6">
        <v>4.91</v>
      </c>
      <c r="AB10" s="6">
        <v>6.11</v>
      </c>
      <c r="AC10" s="4"/>
      <c r="AD10" s="4"/>
      <c r="AE10" s="4"/>
      <c r="AF10" s="6"/>
      <c r="AG10" s="6"/>
      <c r="AH10" s="6"/>
      <c r="AI10" s="6">
        <v>5.53</v>
      </c>
      <c r="AJ10" s="6">
        <v>6.54</v>
      </c>
      <c r="AK10" s="4"/>
      <c r="AL10" s="4"/>
      <c r="AM10" s="4"/>
      <c r="AN10" s="6"/>
      <c r="AO10" s="6"/>
      <c r="AP10" s="6"/>
      <c r="AQ10" s="6">
        <v>0.59</v>
      </c>
      <c r="AR10" s="6">
        <v>3.18</v>
      </c>
      <c r="AS10" s="4"/>
      <c r="AT10" s="4"/>
      <c r="AU10" s="4"/>
    </row>
    <row r="11" spans="1:47" x14ac:dyDescent="0.25">
      <c r="A11" s="4"/>
      <c r="B11" s="5"/>
      <c r="C11" s="4">
        <v>6.67</v>
      </c>
      <c r="D11" s="4">
        <v>3.91</v>
      </c>
      <c r="E11" s="4"/>
      <c r="F11" s="4"/>
      <c r="G11" s="4"/>
      <c r="H11" s="6"/>
      <c r="I11" s="4"/>
      <c r="J11" s="5"/>
      <c r="K11" s="4">
        <v>0.08</v>
      </c>
      <c r="L11" s="4">
        <v>9.01</v>
      </c>
      <c r="M11" s="4"/>
      <c r="N11" s="4"/>
      <c r="O11" s="4"/>
      <c r="P11" s="6"/>
      <c r="Q11" s="6"/>
      <c r="R11" s="5"/>
      <c r="S11" s="6">
        <v>1.18</v>
      </c>
      <c r="T11" s="6">
        <v>9.35</v>
      </c>
      <c r="U11" s="4"/>
      <c r="V11" s="4"/>
      <c r="W11" s="4"/>
      <c r="X11" s="6"/>
      <c r="Y11" s="6"/>
      <c r="Z11" s="5"/>
      <c r="AA11" s="6">
        <v>4.3099999999999996</v>
      </c>
      <c r="AB11" s="6">
        <v>10.69</v>
      </c>
      <c r="AC11" s="4"/>
      <c r="AD11" s="4"/>
      <c r="AE11" s="4"/>
      <c r="AF11" s="6"/>
      <c r="AG11" s="6"/>
      <c r="AH11" s="6"/>
      <c r="AI11" s="6">
        <v>3.76</v>
      </c>
      <c r="AJ11" s="6">
        <v>3.27</v>
      </c>
      <c r="AK11" s="4"/>
      <c r="AL11" s="4"/>
      <c r="AM11" s="4"/>
      <c r="AN11" s="6"/>
      <c r="AO11" s="6"/>
      <c r="AP11" s="6"/>
      <c r="AQ11" s="6">
        <v>0.11</v>
      </c>
      <c r="AR11" s="6">
        <v>0.92</v>
      </c>
      <c r="AS11" s="4"/>
      <c r="AT11" s="4"/>
      <c r="AU11" s="4"/>
    </row>
    <row r="12" spans="1:47" x14ac:dyDescent="0.25">
      <c r="A12" s="4"/>
      <c r="B12" s="5"/>
      <c r="C12" s="4">
        <v>3.79</v>
      </c>
      <c r="D12" s="4">
        <v>6.46</v>
      </c>
      <c r="E12" s="4"/>
      <c r="F12" s="4"/>
      <c r="G12" s="4"/>
      <c r="H12" s="6"/>
      <c r="I12" s="4"/>
      <c r="J12" s="5"/>
      <c r="K12" s="4">
        <v>0.04</v>
      </c>
      <c r="L12" s="4">
        <v>8.93</v>
      </c>
      <c r="M12" s="4"/>
      <c r="N12" s="4"/>
      <c r="O12" s="4"/>
      <c r="P12" s="6"/>
      <c r="Q12" s="6"/>
      <c r="R12" s="5"/>
      <c r="S12" s="6">
        <v>0.86</v>
      </c>
      <c r="T12" s="6">
        <v>9.34</v>
      </c>
      <c r="U12" s="4"/>
      <c r="V12" s="4"/>
      <c r="W12" s="4"/>
      <c r="X12" s="6"/>
      <c r="Y12" s="6"/>
      <c r="Z12" s="5"/>
      <c r="AA12" s="6">
        <v>4.16</v>
      </c>
      <c r="AB12" s="6">
        <v>12.01</v>
      </c>
      <c r="AC12" s="4"/>
      <c r="AD12" s="4"/>
      <c r="AE12" s="4"/>
      <c r="AF12" s="6"/>
      <c r="AG12" s="6"/>
      <c r="AH12" s="6"/>
      <c r="AI12" s="6">
        <v>1.38</v>
      </c>
      <c r="AJ12" s="6">
        <v>8.0299999999999994</v>
      </c>
      <c r="AK12" s="4"/>
      <c r="AL12" s="4"/>
      <c r="AM12" s="4"/>
      <c r="AN12" s="6"/>
      <c r="AO12" s="6"/>
      <c r="AP12" s="6"/>
      <c r="AQ12" s="6">
        <v>0.12</v>
      </c>
      <c r="AR12" s="6">
        <v>1.69</v>
      </c>
      <c r="AS12" s="4"/>
      <c r="AT12" s="4"/>
      <c r="AU12" s="4"/>
    </row>
    <row r="13" spans="1:47" x14ac:dyDescent="0.25">
      <c r="A13" s="1" t="s">
        <v>14</v>
      </c>
      <c r="B13" s="2"/>
      <c r="C13" s="1">
        <v>5.59</v>
      </c>
      <c r="D13" s="1">
        <v>9.83</v>
      </c>
      <c r="E13" s="1">
        <f>AVERAGE(C13:C17)</f>
        <v>4.1139999999999999</v>
      </c>
      <c r="F13" s="1">
        <f>AVERAGE(D13:D17)</f>
        <v>8.2219999999999995</v>
      </c>
      <c r="G13" s="1">
        <f>F13/E13</f>
        <v>1.9985415653864851</v>
      </c>
      <c r="H13" s="3"/>
      <c r="I13" s="1" t="s">
        <v>23</v>
      </c>
      <c r="J13" s="2"/>
      <c r="K13" s="1">
        <v>0.18</v>
      </c>
      <c r="L13" s="1">
        <v>6.11</v>
      </c>
      <c r="M13" s="1">
        <f>AVERAGE(K13:K17)</f>
        <v>0.23199999999999998</v>
      </c>
      <c r="N13" s="1">
        <f>AVERAGE(L13:L17)</f>
        <v>7.0419999999999998</v>
      </c>
      <c r="O13" s="1">
        <f>N13/M13</f>
        <v>30.353448275862071</v>
      </c>
      <c r="P13" s="3"/>
      <c r="Q13" s="3" t="s">
        <v>19</v>
      </c>
      <c r="R13" s="2"/>
      <c r="S13" s="3">
        <v>0.1</v>
      </c>
      <c r="T13" s="3">
        <v>6.25</v>
      </c>
      <c r="U13" s="1">
        <f>AVERAGE(S13:S17)</f>
        <v>0.61199999999999999</v>
      </c>
      <c r="V13" s="1">
        <f>AVERAGE(T13:T17)</f>
        <v>7.4</v>
      </c>
      <c r="W13" s="1">
        <f>V13/U13</f>
        <v>12.091503267973858</v>
      </c>
      <c r="X13" s="3"/>
      <c r="Y13" s="3" t="s">
        <v>27</v>
      </c>
      <c r="Z13" s="2"/>
      <c r="AA13" s="3">
        <v>3.42</v>
      </c>
      <c r="AB13" s="3">
        <v>6.06</v>
      </c>
      <c r="AC13" s="1">
        <f>AVERAGE(AA13:AA17)</f>
        <v>4.3920000000000003</v>
      </c>
      <c r="AD13" s="1">
        <f>AVERAGE(AB13:AB17)</f>
        <v>7.508</v>
      </c>
      <c r="AE13" s="1">
        <f>AD13/AC13</f>
        <v>1.709471766848816</v>
      </c>
      <c r="AF13" s="3"/>
      <c r="AG13" s="3" t="s">
        <v>37</v>
      </c>
      <c r="AH13" s="3"/>
      <c r="AI13" s="3">
        <v>7.45</v>
      </c>
      <c r="AJ13" s="3">
        <v>3.95</v>
      </c>
      <c r="AK13" s="1">
        <f>AVERAGE(AI13:AI17)</f>
        <v>5.3280000000000003</v>
      </c>
      <c r="AL13" s="1">
        <f>AVERAGE(AJ13:AJ17)</f>
        <v>4.18</v>
      </c>
      <c r="AM13" s="1">
        <f>AL13/AK13</f>
        <v>0.78453453453453448</v>
      </c>
      <c r="AN13" s="3"/>
      <c r="AO13" s="3" t="s">
        <v>41</v>
      </c>
      <c r="AP13" s="3"/>
      <c r="AQ13" s="3">
        <v>1.1299999999999999</v>
      </c>
      <c r="AR13" s="3">
        <v>3.92</v>
      </c>
      <c r="AS13" s="1">
        <f>AVERAGE(AQ13:AQ17)</f>
        <v>0.68599999999999994</v>
      </c>
      <c r="AT13" s="1">
        <f>AVERAGE(AR13:AR17)</f>
        <v>4.0739999999999998</v>
      </c>
      <c r="AU13" s="1">
        <f>AT13/AS13</f>
        <v>5.9387755102040822</v>
      </c>
    </row>
    <row r="14" spans="1:47" x14ac:dyDescent="0.25">
      <c r="A14" s="1"/>
      <c r="B14" s="2"/>
      <c r="C14" s="1">
        <v>1.84</v>
      </c>
      <c r="D14" s="1">
        <v>4.8099999999999996</v>
      </c>
      <c r="E14" s="1"/>
      <c r="F14" s="1"/>
      <c r="G14" s="1"/>
      <c r="H14" s="3"/>
      <c r="I14" s="1"/>
      <c r="J14" s="2"/>
      <c r="K14" s="1">
        <v>0.15</v>
      </c>
      <c r="L14" s="1">
        <v>7.7</v>
      </c>
      <c r="M14" s="1"/>
      <c r="N14" s="1"/>
      <c r="O14" s="1"/>
      <c r="P14" s="3"/>
      <c r="Q14" s="3"/>
      <c r="R14" s="2"/>
      <c r="S14" s="3">
        <v>0.89</v>
      </c>
      <c r="T14" s="3">
        <v>10.42</v>
      </c>
      <c r="U14" s="1"/>
      <c r="V14" s="1"/>
      <c r="W14" s="1"/>
      <c r="X14" s="3"/>
      <c r="Y14" s="3"/>
      <c r="Z14" s="2"/>
      <c r="AA14" s="3">
        <v>3.16</v>
      </c>
      <c r="AB14" s="3">
        <v>2.4900000000000002</v>
      </c>
      <c r="AC14" s="1"/>
      <c r="AD14" s="1"/>
      <c r="AE14" s="1"/>
      <c r="AF14" s="3"/>
      <c r="AG14" s="3"/>
      <c r="AH14" s="3"/>
      <c r="AI14" s="3">
        <v>6.39</v>
      </c>
      <c r="AJ14" s="3">
        <v>5.27</v>
      </c>
      <c r="AK14" s="1"/>
      <c r="AL14" s="1"/>
      <c r="AM14" s="1"/>
      <c r="AN14" s="3"/>
      <c r="AO14" s="3"/>
      <c r="AP14" s="3"/>
      <c r="AQ14" s="3">
        <v>0.21</v>
      </c>
      <c r="AR14" s="3">
        <v>3.63</v>
      </c>
      <c r="AS14" s="1"/>
      <c r="AT14" s="1"/>
      <c r="AU14" s="1"/>
    </row>
    <row r="15" spans="1:47" x14ac:dyDescent="0.25">
      <c r="A15" s="1"/>
      <c r="B15" s="2"/>
      <c r="C15" s="1">
        <v>4.28</v>
      </c>
      <c r="D15" s="1">
        <v>8.77</v>
      </c>
      <c r="E15" s="1"/>
      <c r="F15" s="1"/>
      <c r="G15" s="1"/>
      <c r="H15" s="3"/>
      <c r="I15" s="1"/>
      <c r="J15" s="2"/>
      <c r="K15" s="1">
        <v>0.27</v>
      </c>
      <c r="L15" s="1">
        <v>11.89</v>
      </c>
      <c r="M15" s="1"/>
      <c r="N15" s="1"/>
      <c r="O15" s="1"/>
      <c r="P15" s="3"/>
      <c r="Q15" s="3"/>
      <c r="R15" s="2"/>
      <c r="S15" s="3">
        <v>0.24</v>
      </c>
      <c r="T15" s="3">
        <v>10.3</v>
      </c>
      <c r="U15" s="1"/>
      <c r="V15" s="1"/>
      <c r="W15" s="1"/>
      <c r="X15" s="3"/>
      <c r="Y15" s="3"/>
      <c r="Z15" s="2"/>
      <c r="AA15" s="3">
        <v>5.57</v>
      </c>
      <c r="AB15" s="3">
        <v>8.3800000000000008</v>
      </c>
      <c r="AC15" s="1"/>
      <c r="AD15" s="1"/>
      <c r="AE15" s="1"/>
      <c r="AF15" s="3"/>
      <c r="AG15" s="3"/>
      <c r="AH15" s="3"/>
      <c r="AI15" s="3">
        <v>4.32</v>
      </c>
      <c r="AJ15" s="3">
        <v>6.71</v>
      </c>
      <c r="AK15" s="1"/>
      <c r="AL15" s="1"/>
      <c r="AM15" s="1"/>
      <c r="AN15" s="3"/>
      <c r="AO15" s="3"/>
      <c r="AP15" s="3"/>
      <c r="AQ15" s="3">
        <v>0.19</v>
      </c>
      <c r="AR15" s="3">
        <v>4.46</v>
      </c>
      <c r="AS15" s="1"/>
      <c r="AT15" s="1"/>
      <c r="AU15" s="1"/>
    </row>
    <row r="16" spans="1:47" x14ac:dyDescent="0.25">
      <c r="A16" s="1"/>
      <c r="B16" s="2"/>
      <c r="C16" s="1">
        <v>5.62</v>
      </c>
      <c r="D16" s="1">
        <v>6.66</v>
      </c>
      <c r="E16" s="1"/>
      <c r="F16" s="1"/>
      <c r="G16" s="1"/>
      <c r="H16" s="3"/>
      <c r="I16" s="1"/>
      <c r="J16" s="2"/>
      <c r="K16" s="1">
        <v>0.53</v>
      </c>
      <c r="L16" s="1">
        <v>5.61</v>
      </c>
      <c r="M16" s="1"/>
      <c r="N16" s="1"/>
      <c r="O16" s="1"/>
      <c r="P16" s="3"/>
      <c r="Q16" s="3"/>
      <c r="R16" s="2"/>
      <c r="S16" s="3">
        <v>0.27</v>
      </c>
      <c r="T16" s="3">
        <v>5.45</v>
      </c>
      <c r="U16" s="1"/>
      <c r="V16" s="1"/>
      <c r="W16" s="1"/>
      <c r="X16" s="3"/>
      <c r="Y16" s="3"/>
      <c r="Z16" s="2"/>
      <c r="AA16" s="3">
        <v>4.24</v>
      </c>
      <c r="AB16" s="3">
        <v>8.34</v>
      </c>
      <c r="AC16" s="1"/>
      <c r="AD16" s="1"/>
      <c r="AE16" s="1"/>
      <c r="AF16" s="3"/>
      <c r="AG16" s="3"/>
      <c r="AH16" s="3"/>
      <c r="AI16" s="3">
        <v>4.74</v>
      </c>
      <c r="AJ16" s="3">
        <v>2.29</v>
      </c>
      <c r="AK16" s="1"/>
      <c r="AL16" s="1"/>
      <c r="AM16" s="1"/>
      <c r="AN16" s="3"/>
      <c r="AO16" s="3"/>
      <c r="AP16" s="3"/>
      <c r="AQ16" s="3">
        <v>1.43</v>
      </c>
      <c r="AR16" s="3">
        <v>3.77</v>
      </c>
      <c r="AS16" s="1"/>
      <c r="AT16" s="1"/>
      <c r="AU16" s="1"/>
    </row>
    <row r="17" spans="1:47" x14ac:dyDescent="0.25">
      <c r="A17" s="1"/>
      <c r="B17" s="2"/>
      <c r="C17" s="1">
        <v>3.24</v>
      </c>
      <c r="D17" s="1">
        <v>11.04</v>
      </c>
      <c r="E17" s="1"/>
      <c r="F17" s="1"/>
      <c r="G17" s="1"/>
      <c r="H17" s="3"/>
      <c r="I17" s="1"/>
      <c r="J17" s="2"/>
      <c r="K17" s="1">
        <v>0.03</v>
      </c>
      <c r="L17" s="1">
        <v>3.9</v>
      </c>
      <c r="M17" s="1"/>
      <c r="N17" s="1"/>
      <c r="O17" s="1"/>
      <c r="P17" s="3"/>
      <c r="Q17" s="3"/>
      <c r="R17" s="2"/>
      <c r="S17" s="3">
        <v>1.56</v>
      </c>
      <c r="T17" s="3">
        <v>4.58</v>
      </c>
      <c r="U17" s="1"/>
      <c r="V17" s="1"/>
      <c r="W17" s="1"/>
      <c r="X17" s="3"/>
      <c r="Y17" s="3"/>
      <c r="Z17" s="2"/>
      <c r="AA17" s="3">
        <v>5.57</v>
      </c>
      <c r="AB17" s="3">
        <v>12.27</v>
      </c>
      <c r="AC17" s="1"/>
      <c r="AD17" s="1"/>
      <c r="AE17" s="1"/>
      <c r="AF17" s="3"/>
      <c r="AG17" s="3"/>
      <c r="AH17" s="3"/>
      <c r="AI17" s="3">
        <v>3.74</v>
      </c>
      <c r="AJ17" s="3">
        <v>2.68</v>
      </c>
      <c r="AK17" s="1"/>
      <c r="AL17" s="1"/>
      <c r="AM17" s="1"/>
      <c r="AN17" s="3"/>
      <c r="AO17" s="3"/>
      <c r="AP17" s="3"/>
      <c r="AQ17" s="3">
        <v>0.47</v>
      </c>
      <c r="AR17" s="3">
        <v>4.59</v>
      </c>
      <c r="AS17" s="1"/>
      <c r="AT17" s="1"/>
      <c r="AU17" s="1"/>
    </row>
    <row r="18" spans="1:47" x14ac:dyDescent="0.25">
      <c r="A18" s="4" t="s">
        <v>7</v>
      </c>
      <c r="B18" s="5"/>
      <c r="C18" s="4">
        <v>4.07</v>
      </c>
      <c r="D18" s="4">
        <v>8.32</v>
      </c>
      <c r="E18" s="4">
        <f>AVERAGE(C18:C22)</f>
        <v>4.508</v>
      </c>
      <c r="F18" s="4">
        <f>AVERAGE(D18:D22)</f>
        <v>6.0260000000000007</v>
      </c>
      <c r="G18" s="4">
        <f>F18/E18</f>
        <v>1.3367346938775511</v>
      </c>
      <c r="H18" s="6"/>
      <c r="I18" s="4" t="s">
        <v>24</v>
      </c>
      <c r="J18" s="5"/>
      <c r="K18" s="4">
        <v>0.13</v>
      </c>
      <c r="L18" s="4">
        <v>4.04</v>
      </c>
      <c r="M18" s="4">
        <f>AVERAGE(K18:K22)</f>
        <v>0.16799999999999998</v>
      </c>
      <c r="N18" s="4">
        <f>AVERAGE(L18:L22)</f>
        <v>4.8140000000000001</v>
      </c>
      <c r="O18" s="4">
        <f>N18/M18</f>
        <v>28.654761904761909</v>
      </c>
      <c r="P18" s="6"/>
      <c r="Q18" s="6" t="s">
        <v>20</v>
      </c>
      <c r="R18" s="5"/>
      <c r="S18" s="6">
        <v>0.13</v>
      </c>
      <c r="T18" s="6">
        <v>5.69</v>
      </c>
      <c r="U18" s="4">
        <f>AVERAGE(S18:S22)</f>
        <v>0.57999999999999996</v>
      </c>
      <c r="V18" s="4">
        <f>AVERAGE(T18:T22)</f>
        <v>6.1199999999999992</v>
      </c>
      <c r="W18" s="4">
        <f>V18/U18</f>
        <v>10.551724137931034</v>
      </c>
      <c r="X18" s="6"/>
      <c r="Y18" s="6" t="s">
        <v>30</v>
      </c>
      <c r="Z18" s="5"/>
      <c r="AA18" s="6">
        <v>4.28</v>
      </c>
      <c r="AB18" s="6">
        <v>3.7</v>
      </c>
      <c r="AC18" s="4">
        <f>AVERAGE(AA18:AA22)</f>
        <v>5.4520000000000008</v>
      </c>
      <c r="AD18" s="4">
        <f>AVERAGE(AB18:AB22)</f>
        <v>6.346000000000001</v>
      </c>
      <c r="AE18" s="4">
        <f>AD18/AC18</f>
        <v>1.1639765223771092</v>
      </c>
      <c r="AF18" s="6"/>
      <c r="AG18" s="6" t="s">
        <v>38</v>
      </c>
      <c r="AH18" s="6"/>
      <c r="AI18" s="6">
        <v>6.38</v>
      </c>
      <c r="AJ18" s="6">
        <v>8.15</v>
      </c>
      <c r="AK18" s="4">
        <f>AVERAGE(AI18:AI22)</f>
        <v>4.3499999999999996</v>
      </c>
      <c r="AL18" s="4">
        <f>AVERAGE(AJ18:AJ22)</f>
        <v>5.8280000000000003</v>
      </c>
      <c r="AM18" s="4">
        <f>AL18/AK18</f>
        <v>1.339770114942529</v>
      </c>
      <c r="AN18" s="6"/>
      <c r="AO18" s="6" t="s">
        <v>42</v>
      </c>
      <c r="AP18" s="6"/>
      <c r="AQ18" s="6">
        <v>1.39</v>
      </c>
      <c r="AR18" s="6">
        <v>1.28</v>
      </c>
      <c r="AS18" s="4">
        <f>AVERAGE(AQ18:AQ22)</f>
        <v>0.38400000000000001</v>
      </c>
      <c r="AT18" s="4">
        <f>AVERAGE(AR18:AR22)</f>
        <v>3.5980000000000003</v>
      </c>
      <c r="AU18" s="4">
        <f>AT18/AS18</f>
        <v>9.3697916666666679</v>
      </c>
    </row>
    <row r="19" spans="1:47" x14ac:dyDescent="0.25">
      <c r="A19" s="4"/>
      <c r="B19" s="5"/>
      <c r="C19" s="4">
        <v>3.35</v>
      </c>
      <c r="D19" s="4">
        <v>4.78</v>
      </c>
      <c r="E19" s="4"/>
      <c r="F19" s="4"/>
      <c r="G19" s="4"/>
      <c r="H19" s="6"/>
      <c r="I19" s="4"/>
      <c r="J19" s="5"/>
      <c r="K19" s="4">
        <v>0.14000000000000001</v>
      </c>
      <c r="L19" s="4">
        <v>8.5299999999999994</v>
      </c>
      <c r="M19" s="4"/>
      <c r="N19" s="4"/>
      <c r="O19" s="4"/>
      <c r="P19" s="6"/>
      <c r="Q19" s="6"/>
      <c r="R19" s="5"/>
      <c r="S19" s="6">
        <v>0.09</v>
      </c>
      <c r="T19" s="6">
        <v>3.67</v>
      </c>
      <c r="U19" s="4"/>
      <c r="V19" s="4"/>
      <c r="W19" s="4"/>
      <c r="X19" s="6"/>
      <c r="Y19" s="6"/>
      <c r="Z19" s="5"/>
      <c r="AA19" s="6">
        <v>4.57</v>
      </c>
      <c r="AB19" s="6">
        <v>9.33</v>
      </c>
      <c r="AC19" s="4"/>
      <c r="AD19" s="4"/>
      <c r="AE19" s="4"/>
      <c r="AF19" s="6"/>
      <c r="AG19" s="6"/>
      <c r="AH19" s="6"/>
      <c r="AI19" s="6">
        <v>3.64</v>
      </c>
      <c r="AJ19" s="6">
        <v>3.23</v>
      </c>
      <c r="AK19" s="4"/>
      <c r="AL19" s="4"/>
      <c r="AM19" s="4"/>
      <c r="AN19" s="6"/>
      <c r="AO19" s="6"/>
      <c r="AP19" s="6"/>
      <c r="AQ19" s="6">
        <v>0.22</v>
      </c>
      <c r="AR19" s="6">
        <v>3.44</v>
      </c>
      <c r="AS19" s="4"/>
      <c r="AT19" s="4"/>
      <c r="AU19" s="4"/>
    </row>
    <row r="20" spans="1:47" x14ac:dyDescent="0.25">
      <c r="A20" s="4"/>
      <c r="B20" s="5"/>
      <c r="C20" s="4">
        <v>4.12</v>
      </c>
      <c r="D20" s="4">
        <v>6.83</v>
      </c>
      <c r="E20" s="4"/>
      <c r="F20" s="4"/>
      <c r="G20" s="4"/>
      <c r="H20" s="6"/>
      <c r="I20" s="4"/>
      <c r="J20" s="5"/>
      <c r="K20" s="4">
        <v>0.22</v>
      </c>
      <c r="L20" s="4">
        <v>6.85</v>
      </c>
      <c r="M20" s="4"/>
      <c r="N20" s="4"/>
      <c r="O20" s="4"/>
      <c r="P20" s="6"/>
      <c r="Q20" s="6"/>
      <c r="R20" s="5"/>
      <c r="S20" s="6">
        <v>0.57999999999999996</v>
      </c>
      <c r="T20" s="6">
        <v>9.08</v>
      </c>
      <c r="U20" s="4"/>
      <c r="V20" s="4"/>
      <c r="W20" s="4"/>
      <c r="X20" s="6"/>
      <c r="Y20" s="6"/>
      <c r="Z20" s="5"/>
      <c r="AA20" s="6">
        <v>9.1</v>
      </c>
      <c r="AB20" s="6">
        <v>7.96</v>
      </c>
      <c r="AC20" s="4"/>
      <c r="AD20" s="4"/>
      <c r="AE20" s="4"/>
      <c r="AF20" s="6"/>
      <c r="AG20" s="6"/>
      <c r="AH20" s="6"/>
      <c r="AI20" s="6">
        <v>4.2</v>
      </c>
      <c r="AJ20" s="6">
        <v>5.87</v>
      </c>
      <c r="AK20" s="4"/>
      <c r="AL20" s="4"/>
      <c r="AM20" s="4"/>
      <c r="AN20" s="6"/>
      <c r="AO20" s="6"/>
      <c r="AP20" s="6"/>
      <c r="AQ20" s="6">
        <v>0.08</v>
      </c>
      <c r="AR20" s="6">
        <v>4.6100000000000003</v>
      </c>
      <c r="AS20" s="4"/>
      <c r="AT20" s="4"/>
      <c r="AU20" s="4"/>
    </row>
    <row r="21" spans="1:47" x14ac:dyDescent="0.25">
      <c r="A21" s="4"/>
      <c r="B21" s="5"/>
      <c r="C21" s="4">
        <v>9.7899999999999991</v>
      </c>
      <c r="D21" s="4">
        <v>5.78</v>
      </c>
      <c r="E21" s="4"/>
      <c r="F21" s="4"/>
      <c r="G21" s="4"/>
      <c r="H21" s="6"/>
      <c r="I21" s="4"/>
      <c r="J21" s="5"/>
      <c r="K21" s="4">
        <v>0.2</v>
      </c>
      <c r="L21" s="4">
        <v>0.56000000000000005</v>
      </c>
      <c r="M21" s="4"/>
      <c r="N21" s="4"/>
      <c r="O21" s="4"/>
      <c r="P21" s="6"/>
      <c r="Q21" s="6"/>
      <c r="R21" s="5"/>
      <c r="S21" s="6">
        <v>0.32</v>
      </c>
      <c r="T21" s="6">
        <v>7.27</v>
      </c>
      <c r="U21" s="4"/>
      <c r="V21" s="4"/>
      <c r="W21" s="4"/>
      <c r="X21" s="6"/>
      <c r="Y21" s="6"/>
      <c r="Z21" s="5"/>
      <c r="AA21" s="6">
        <v>4.46</v>
      </c>
      <c r="AB21" s="6">
        <v>5.94</v>
      </c>
      <c r="AC21" s="4"/>
      <c r="AD21" s="4"/>
      <c r="AE21" s="4"/>
      <c r="AF21" s="6"/>
      <c r="AG21" s="6"/>
      <c r="AH21" s="6"/>
      <c r="AI21" s="6">
        <v>2.99</v>
      </c>
      <c r="AJ21" s="6">
        <v>6.49</v>
      </c>
      <c r="AK21" s="4"/>
      <c r="AL21" s="4"/>
      <c r="AM21" s="4"/>
      <c r="AN21" s="6"/>
      <c r="AO21" s="6"/>
      <c r="AP21" s="6"/>
      <c r="AQ21" s="6">
        <v>0.15</v>
      </c>
      <c r="AR21" s="6">
        <v>7.56</v>
      </c>
      <c r="AS21" s="4"/>
      <c r="AT21" s="4"/>
      <c r="AU21" s="4"/>
    </row>
    <row r="22" spans="1:47" x14ac:dyDescent="0.25">
      <c r="A22" s="4"/>
      <c r="B22" s="5"/>
      <c r="C22" s="4">
        <v>1.21</v>
      </c>
      <c r="D22" s="4">
        <v>4.42</v>
      </c>
      <c r="E22" s="4"/>
      <c r="F22" s="4"/>
      <c r="G22" s="4"/>
      <c r="H22" s="6"/>
      <c r="I22" s="4"/>
      <c r="J22" s="5"/>
      <c r="K22" s="4">
        <v>0.15</v>
      </c>
      <c r="L22" s="4">
        <v>4.09</v>
      </c>
      <c r="M22" s="4"/>
      <c r="N22" s="4"/>
      <c r="O22" s="4"/>
      <c r="P22" s="6"/>
      <c r="Q22" s="6"/>
      <c r="R22" s="5"/>
      <c r="S22" s="6">
        <v>1.78</v>
      </c>
      <c r="T22" s="6">
        <v>4.8899999999999997</v>
      </c>
      <c r="U22" s="4"/>
      <c r="V22" s="4"/>
      <c r="W22" s="4"/>
      <c r="X22" s="6"/>
      <c r="Y22" s="6"/>
      <c r="Z22" s="5"/>
      <c r="AA22" s="6">
        <v>4.8499999999999996</v>
      </c>
      <c r="AB22" s="6">
        <v>4.8</v>
      </c>
      <c r="AC22" s="4"/>
      <c r="AD22" s="4"/>
      <c r="AE22" s="4"/>
      <c r="AF22" s="6"/>
      <c r="AG22" s="6"/>
      <c r="AH22" s="6"/>
      <c r="AI22" s="6">
        <v>4.54</v>
      </c>
      <c r="AJ22" s="6">
        <v>5.4</v>
      </c>
      <c r="AK22" s="4"/>
      <c r="AL22" s="4"/>
      <c r="AM22" s="4"/>
      <c r="AN22" s="6"/>
      <c r="AO22" s="6"/>
      <c r="AP22" s="6"/>
      <c r="AQ22" s="6">
        <v>0.08</v>
      </c>
      <c r="AR22" s="6">
        <v>1.1000000000000001</v>
      </c>
      <c r="AS22" s="4"/>
      <c r="AT22" s="4"/>
      <c r="AU22" s="4"/>
    </row>
    <row r="23" spans="1:47" x14ac:dyDescent="0.25">
      <c r="A23" s="1" t="s">
        <v>9</v>
      </c>
      <c r="B23" s="2"/>
      <c r="C23" s="1">
        <v>5.52</v>
      </c>
      <c r="D23" s="1">
        <v>6.17</v>
      </c>
      <c r="E23" s="1">
        <f>AVERAGE(C23:C27)</f>
        <v>5.5739999999999998</v>
      </c>
      <c r="F23" s="1">
        <f>AVERAGE(D23:D27)</f>
        <v>6.4480000000000004</v>
      </c>
      <c r="G23" s="1">
        <f>F23/E23</f>
        <v>1.1567994259059922</v>
      </c>
      <c r="H23" s="3"/>
      <c r="I23" s="1" t="s">
        <v>14</v>
      </c>
      <c r="J23" s="2"/>
      <c r="K23" s="1">
        <v>0.48</v>
      </c>
      <c r="L23" s="1">
        <v>4.6500000000000004</v>
      </c>
      <c r="M23" s="1">
        <f>AVERAGE(K23:K27)</f>
        <v>1.5920000000000001</v>
      </c>
      <c r="N23" s="1">
        <f>AVERAGE(L23:L27)</f>
        <v>8.0460000000000012</v>
      </c>
      <c r="O23" s="1">
        <f>N23/M23</f>
        <v>5.0540201005025134</v>
      </c>
      <c r="P23" s="3"/>
      <c r="Q23" s="3" t="s">
        <v>10</v>
      </c>
      <c r="R23" s="2"/>
      <c r="S23" s="3">
        <v>0.21</v>
      </c>
      <c r="T23" s="3">
        <v>4.0599999999999996</v>
      </c>
      <c r="U23" s="1">
        <f>AVERAGE(S23:S27)</f>
        <v>0.87200000000000011</v>
      </c>
      <c r="V23" s="1">
        <f>AVERAGE(T23:T27)</f>
        <v>5.9079999999999995</v>
      </c>
      <c r="W23" s="1">
        <f>V23/U23</f>
        <v>6.7752293577981639</v>
      </c>
      <c r="X23" s="3"/>
      <c r="Y23" s="3" t="s">
        <v>31</v>
      </c>
      <c r="Z23" s="3"/>
      <c r="AA23" s="3">
        <v>4.66</v>
      </c>
      <c r="AB23" s="3">
        <v>4.16</v>
      </c>
      <c r="AC23" s="1">
        <f>AVERAGE(AA23:AA27)</f>
        <v>6.7820000000000009</v>
      </c>
      <c r="AD23" s="1">
        <f>AVERAGE(AB23:AB27)</f>
        <v>7.6120000000000001</v>
      </c>
      <c r="AE23" s="1">
        <f>AD23/AC23</f>
        <v>1.12238277794161</v>
      </c>
      <c r="AF23" s="3"/>
      <c r="AG23" s="3" t="s">
        <v>28</v>
      </c>
      <c r="AH23" s="3"/>
      <c r="AI23" s="3">
        <v>5.14</v>
      </c>
      <c r="AJ23" s="3">
        <v>1.82</v>
      </c>
      <c r="AK23" s="1">
        <f>AVERAGE(AI23:AI27)</f>
        <v>4.5939999999999994</v>
      </c>
      <c r="AL23" s="1">
        <f>AVERAGE(AJ23:AJ27)</f>
        <v>2.9460000000000002</v>
      </c>
      <c r="AM23" s="1">
        <f>AL23/AK23</f>
        <v>0.64127122333478459</v>
      </c>
      <c r="AN23" s="3"/>
      <c r="AO23" s="3" t="s">
        <v>33</v>
      </c>
      <c r="AP23" s="3"/>
      <c r="AQ23" s="3">
        <v>0.72</v>
      </c>
      <c r="AR23" s="3">
        <v>7.29</v>
      </c>
      <c r="AS23" s="1">
        <f>AVERAGE(AQ23:AQ27)</f>
        <v>0.69599999999999995</v>
      </c>
      <c r="AT23" s="1">
        <f>AVERAGE(AR23:AR27)</f>
        <v>6.56</v>
      </c>
      <c r="AU23" s="1">
        <f>AT23/AS23</f>
        <v>9.4252873563218387</v>
      </c>
    </row>
    <row r="24" spans="1:47" x14ac:dyDescent="0.25">
      <c r="A24" s="1"/>
      <c r="B24" s="2"/>
      <c r="C24" s="1">
        <v>6.6</v>
      </c>
      <c r="D24" s="1">
        <v>6.83</v>
      </c>
      <c r="E24" s="1"/>
      <c r="F24" s="1"/>
      <c r="G24" s="1"/>
      <c r="H24" s="3"/>
      <c r="I24" s="3"/>
      <c r="J24" s="2"/>
      <c r="K24" s="1">
        <v>2.0499999999999998</v>
      </c>
      <c r="L24" s="1">
        <v>7.45</v>
      </c>
      <c r="M24" s="1"/>
      <c r="N24" s="1"/>
      <c r="O24" s="1"/>
      <c r="P24" s="3"/>
      <c r="Q24" s="3"/>
      <c r="R24" s="2"/>
      <c r="S24" s="3">
        <v>0.38</v>
      </c>
      <c r="T24" s="3">
        <v>4.8899999999999997</v>
      </c>
      <c r="U24" s="1"/>
      <c r="V24" s="1"/>
      <c r="W24" s="1"/>
      <c r="X24" s="3"/>
      <c r="Y24" s="3"/>
      <c r="Z24" s="3"/>
      <c r="AA24" s="3">
        <v>8.34</v>
      </c>
      <c r="AB24" s="3">
        <v>6.57</v>
      </c>
      <c r="AC24" s="1"/>
      <c r="AD24" s="1"/>
      <c r="AE24" s="1"/>
      <c r="AF24" s="3"/>
      <c r="AG24" s="3"/>
      <c r="AH24" s="3"/>
      <c r="AI24" s="3">
        <v>8.42</v>
      </c>
      <c r="AJ24" s="3">
        <v>4.8099999999999996</v>
      </c>
      <c r="AK24" s="1"/>
      <c r="AL24" s="1"/>
      <c r="AM24" s="1"/>
      <c r="AN24" s="3"/>
      <c r="AO24" s="3"/>
      <c r="AP24" s="3"/>
      <c r="AQ24" s="3">
        <v>0.08</v>
      </c>
      <c r="AR24" s="3">
        <v>2.57</v>
      </c>
      <c r="AS24" s="1"/>
      <c r="AT24" s="1"/>
      <c r="AU24" s="1"/>
    </row>
    <row r="25" spans="1:47" x14ac:dyDescent="0.25">
      <c r="A25" s="1"/>
      <c r="B25" s="2"/>
      <c r="C25" s="1">
        <v>4.17</v>
      </c>
      <c r="D25" s="1">
        <v>7.21</v>
      </c>
      <c r="E25" s="1"/>
      <c r="F25" s="1"/>
      <c r="G25" s="1"/>
      <c r="H25" s="3"/>
      <c r="I25" s="1"/>
      <c r="J25" s="2"/>
      <c r="K25" s="1">
        <v>1.42</v>
      </c>
      <c r="L25" s="1">
        <v>8.93</v>
      </c>
      <c r="M25" s="1"/>
      <c r="N25" s="1"/>
      <c r="O25" s="1"/>
      <c r="P25" s="3"/>
      <c r="Q25" s="3"/>
      <c r="R25" s="2"/>
      <c r="S25" s="3">
        <v>1.57</v>
      </c>
      <c r="T25" s="3">
        <v>7.92</v>
      </c>
      <c r="U25" s="1"/>
      <c r="V25" s="1"/>
      <c r="W25" s="1"/>
      <c r="X25" s="3"/>
      <c r="Y25" s="3"/>
      <c r="Z25" s="3"/>
      <c r="AA25" s="3">
        <v>6.74</v>
      </c>
      <c r="AB25" s="3">
        <v>7.32</v>
      </c>
      <c r="AC25" s="1"/>
      <c r="AD25" s="1"/>
      <c r="AE25" s="1"/>
      <c r="AF25" s="3"/>
      <c r="AG25" s="3"/>
      <c r="AH25" s="3"/>
      <c r="AI25" s="3">
        <v>5.44</v>
      </c>
      <c r="AJ25" s="3">
        <v>2</v>
      </c>
      <c r="AK25" s="1"/>
      <c r="AL25" s="1"/>
      <c r="AM25" s="1"/>
      <c r="AN25" s="3"/>
      <c r="AO25" s="3"/>
      <c r="AP25" s="3"/>
      <c r="AQ25" s="3">
        <v>0.17</v>
      </c>
      <c r="AR25" s="3">
        <v>3.5</v>
      </c>
      <c r="AS25" s="1"/>
      <c r="AT25" s="1"/>
      <c r="AU25" s="1"/>
    </row>
    <row r="26" spans="1:47" x14ac:dyDescent="0.25">
      <c r="A26" s="1"/>
      <c r="B26" s="2"/>
      <c r="C26" s="1">
        <v>6.88</v>
      </c>
      <c r="D26" s="1">
        <v>5.31</v>
      </c>
      <c r="E26" s="1"/>
      <c r="F26" s="1"/>
      <c r="G26" s="1"/>
      <c r="H26" s="3"/>
      <c r="I26" s="1"/>
      <c r="J26" s="2"/>
      <c r="K26" s="1">
        <v>1.84</v>
      </c>
      <c r="L26" s="1">
        <v>10.68</v>
      </c>
      <c r="M26" s="1"/>
      <c r="N26" s="1"/>
      <c r="O26" s="1"/>
      <c r="P26" s="3"/>
      <c r="Q26" s="3"/>
      <c r="R26" s="2"/>
      <c r="S26" s="3">
        <v>1.28</v>
      </c>
      <c r="T26" s="3">
        <v>5.34</v>
      </c>
      <c r="U26" s="1"/>
      <c r="V26" s="1"/>
      <c r="W26" s="1"/>
      <c r="X26" s="3"/>
      <c r="Y26" s="3"/>
      <c r="Z26" s="3"/>
      <c r="AA26" s="3">
        <v>7.8</v>
      </c>
      <c r="AB26" s="3">
        <v>13.89</v>
      </c>
      <c r="AC26" s="1"/>
      <c r="AD26" s="1"/>
      <c r="AE26" s="1"/>
      <c r="AF26" s="3"/>
      <c r="AG26" s="3"/>
      <c r="AH26" s="3"/>
      <c r="AI26" s="3">
        <v>3.48</v>
      </c>
      <c r="AJ26" s="3">
        <v>2.56</v>
      </c>
      <c r="AK26" s="1"/>
      <c r="AL26" s="1"/>
      <c r="AM26" s="1"/>
      <c r="AN26" s="3"/>
      <c r="AO26" s="3"/>
      <c r="AP26" s="3"/>
      <c r="AQ26" s="3">
        <v>2.4500000000000002</v>
      </c>
      <c r="AR26" s="3">
        <v>12.52</v>
      </c>
      <c r="AS26" s="1"/>
      <c r="AT26" s="1"/>
      <c r="AU26" s="1"/>
    </row>
    <row r="27" spans="1:47" x14ac:dyDescent="0.25">
      <c r="A27" s="1"/>
      <c r="B27" s="2"/>
      <c r="C27" s="1">
        <v>4.7</v>
      </c>
      <c r="D27" s="1">
        <v>6.72</v>
      </c>
      <c r="E27" s="1"/>
      <c r="F27" s="1"/>
      <c r="G27" s="1"/>
      <c r="H27" s="3"/>
      <c r="I27" s="1"/>
      <c r="J27" s="2"/>
      <c r="K27" s="1">
        <v>2.17</v>
      </c>
      <c r="L27" s="3">
        <v>8.52</v>
      </c>
      <c r="M27" s="1"/>
      <c r="N27" s="1"/>
      <c r="O27" s="1"/>
      <c r="P27" s="3"/>
      <c r="Q27" s="3"/>
      <c r="R27" s="2"/>
      <c r="S27" s="3">
        <v>0.92</v>
      </c>
      <c r="T27" s="3">
        <v>7.33</v>
      </c>
      <c r="U27" s="1"/>
      <c r="V27" s="1"/>
      <c r="W27" s="1"/>
      <c r="X27" s="3"/>
      <c r="Y27" s="3"/>
      <c r="Z27" s="3"/>
      <c r="AA27" s="3">
        <v>6.37</v>
      </c>
      <c r="AB27" s="3">
        <v>6.12</v>
      </c>
      <c r="AC27" s="1"/>
      <c r="AD27" s="1"/>
      <c r="AE27" s="1"/>
      <c r="AF27" s="3"/>
      <c r="AG27" s="3"/>
      <c r="AH27" s="3"/>
      <c r="AI27" s="3">
        <v>0.49</v>
      </c>
      <c r="AJ27" s="3">
        <v>3.54</v>
      </c>
      <c r="AK27" s="1"/>
      <c r="AL27" s="1"/>
      <c r="AM27" s="1"/>
      <c r="AN27" s="3"/>
      <c r="AO27" s="3"/>
      <c r="AP27" s="3"/>
      <c r="AQ27" s="3">
        <v>0.06</v>
      </c>
      <c r="AR27" s="3">
        <v>6.92</v>
      </c>
      <c r="AS27" s="1"/>
      <c r="AT27" s="1"/>
      <c r="AU27" s="1"/>
    </row>
    <row r="28" spans="1:47" x14ac:dyDescent="0.25">
      <c r="A28" s="4"/>
      <c r="B28" s="4"/>
      <c r="C28" s="4"/>
      <c r="D28" s="4"/>
      <c r="E28" s="4" t="e">
        <f>AVERAGE(C28:C32)</f>
        <v>#DIV/0!</v>
      </c>
      <c r="F28" s="4" t="e">
        <f>AVERAGE(D28:D32)</f>
        <v>#DIV/0!</v>
      </c>
      <c r="G28" s="4" t="e">
        <f>F28/E28</f>
        <v>#DIV/0!</v>
      </c>
      <c r="H28" s="6"/>
      <c r="I28" s="4" t="s">
        <v>15</v>
      </c>
      <c r="J28" s="6"/>
      <c r="K28" s="6">
        <v>0.13</v>
      </c>
      <c r="L28" s="6">
        <v>8.98</v>
      </c>
      <c r="M28" s="4">
        <f>AVERAGE(K28:K32)</f>
        <v>0.51800000000000002</v>
      </c>
      <c r="N28" s="4">
        <f>AVERAGE(L28:L32)</f>
        <v>7.0579999999999998</v>
      </c>
      <c r="O28" s="4">
        <f>N28/M28</f>
        <v>13.625482625482626</v>
      </c>
      <c r="P28" s="6"/>
      <c r="Q28" s="6" t="s">
        <v>11</v>
      </c>
      <c r="R28" s="6"/>
      <c r="S28" s="6">
        <v>4.22</v>
      </c>
      <c r="T28" s="6">
        <v>13.62</v>
      </c>
      <c r="U28" s="4">
        <f>AVERAGE(S28:S32)</f>
        <v>3.0220000000000002</v>
      </c>
      <c r="V28" s="4">
        <f>AVERAGE(T28:T32)</f>
        <v>10.616</v>
      </c>
      <c r="W28" s="4">
        <f>V28/U28</f>
        <v>3.5129053606882854</v>
      </c>
      <c r="X28" s="6"/>
      <c r="Y28" s="6" t="s">
        <v>32</v>
      </c>
      <c r="Z28" s="6"/>
      <c r="AA28" s="6">
        <v>2.65</v>
      </c>
      <c r="AB28" s="6">
        <v>10.49</v>
      </c>
      <c r="AC28" s="4">
        <f>AVERAGE(AA28:AA32)</f>
        <v>3.5380000000000003</v>
      </c>
      <c r="AD28" s="4">
        <f>AVERAGE(AB28:AB32)</f>
        <v>7.668000000000001</v>
      </c>
      <c r="AE28" s="4">
        <f>AD28/AC28</f>
        <v>2.1673261729790845</v>
      </c>
      <c r="AF28" s="6"/>
      <c r="AG28" s="6" t="s">
        <v>29</v>
      </c>
      <c r="AH28" s="6"/>
      <c r="AI28" s="6">
        <v>7.94</v>
      </c>
      <c r="AJ28" s="6">
        <v>6.99</v>
      </c>
      <c r="AK28" s="4">
        <f>AVERAGE(AI28:AI32)</f>
        <v>6.3840000000000003</v>
      </c>
      <c r="AL28" s="4">
        <f>AVERAGE(AJ28:AJ32)</f>
        <v>6.758</v>
      </c>
      <c r="AM28" s="4">
        <f>AL28/AK28</f>
        <v>1.0585839598997493</v>
      </c>
      <c r="AN28" s="6"/>
      <c r="AO28" s="6" t="s">
        <v>34</v>
      </c>
      <c r="AP28" s="6"/>
      <c r="AQ28" s="6">
        <v>0.36</v>
      </c>
      <c r="AR28" s="6">
        <v>4.2699999999999996</v>
      </c>
      <c r="AS28" s="4">
        <f>AVERAGE(AQ28:AQ32)</f>
        <v>0.94199999999999995</v>
      </c>
      <c r="AT28" s="4">
        <f>AVERAGE(AR28:AR32)</f>
        <v>4.0259999999999998</v>
      </c>
      <c r="AU28" s="4">
        <f>AT28/AS28</f>
        <v>4.2738853503184711</v>
      </c>
    </row>
    <row r="29" spans="1:47" x14ac:dyDescent="0.25">
      <c r="A29" s="4"/>
      <c r="B29" s="4"/>
      <c r="C29" s="4"/>
      <c r="D29" s="4"/>
      <c r="E29" s="4"/>
      <c r="F29" s="4"/>
      <c r="G29" s="4"/>
      <c r="H29" s="6"/>
      <c r="I29" s="6"/>
      <c r="J29" s="6"/>
      <c r="K29" s="6">
        <v>0.19</v>
      </c>
      <c r="L29" s="6">
        <v>5.93</v>
      </c>
      <c r="M29" s="6"/>
      <c r="N29" s="6"/>
      <c r="O29" s="6"/>
      <c r="P29" s="6"/>
      <c r="Q29" s="6"/>
      <c r="R29" s="6"/>
      <c r="S29" s="6">
        <v>3.42</v>
      </c>
      <c r="T29" s="6">
        <v>8.32</v>
      </c>
      <c r="U29" s="6"/>
      <c r="V29" s="6"/>
      <c r="W29" s="6"/>
      <c r="X29" s="6"/>
      <c r="Y29" s="6"/>
      <c r="Z29" s="6"/>
      <c r="AA29" s="6">
        <v>4</v>
      </c>
      <c r="AB29" s="6">
        <v>9.82</v>
      </c>
      <c r="AC29" s="6"/>
      <c r="AD29" s="6"/>
      <c r="AE29" s="6"/>
      <c r="AF29" s="6"/>
      <c r="AG29" s="6"/>
      <c r="AH29" s="6"/>
      <c r="AI29" s="6">
        <v>3.6</v>
      </c>
      <c r="AJ29" s="6">
        <v>3.26</v>
      </c>
      <c r="AK29" s="6"/>
      <c r="AL29" s="6"/>
      <c r="AM29" s="6"/>
      <c r="AN29" s="6"/>
      <c r="AO29" s="6"/>
      <c r="AP29" s="6"/>
      <c r="AQ29" s="6">
        <v>0.34</v>
      </c>
      <c r="AR29" s="6">
        <v>5.42</v>
      </c>
      <c r="AS29" s="6"/>
      <c r="AT29" s="6"/>
      <c r="AU29" s="6"/>
    </row>
    <row r="30" spans="1:47" x14ac:dyDescent="0.25">
      <c r="A30" s="4"/>
      <c r="B30" s="4"/>
      <c r="C30" s="4"/>
      <c r="D30" s="4"/>
      <c r="E30" s="4"/>
      <c r="F30" s="4"/>
      <c r="G30" s="4"/>
      <c r="H30" s="6"/>
      <c r="I30" s="6"/>
      <c r="J30" s="6"/>
      <c r="K30" s="6">
        <v>0.18</v>
      </c>
      <c r="L30" s="4">
        <v>6.98</v>
      </c>
      <c r="M30" s="6"/>
      <c r="N30" s="6"/>
      <c r="O30" s="6"/>
      <c r="P30" s="6"/>
      <c r="Q30" s="6"/>
      <c r="R30" s="6"/>
      <c r="S30" s="6">
        <v>0.92</v>
      </c>
      <c r="T30" s="6">
        <v>13.1</v>
      </c>
      <c r="U30" s="6"/>
      <c r="V30" s="6"/>
      <c r="W30" s="6"/>
      <c r="X30" s="6"/>
      <c r="Y30" s="6"/>
      <c r="Z30" s="6"/>
      <c r="AA30" s="6">
        <v>3.54</v>
      </c>
      <c r="AB30" s="6">
        <v>5.78</v>
      </c>
      <c r="AC30" s="6"/>
      <c r="AD30" s="6"/>
      <c r="AE30" s="6"/>
      <c r="AF30" s="6"/>
      <c r="AG30" s="6"/>
      <c r="AH30" s="6"/>
      <c r="AI30" s="6">
        <v>11.04</v>
      </c>
      <c r="AJ30" s="6">
        <v>10.35</v>
      </c>
      <c r="AK30" s="6"/>
      <c r="AL30" s="6"/>
      <c r="AM30" s="6"/>
      <c r="AN30" s="6"/>
      <c r="AO30" s="6"/>
      <c r="AP30" s="6"/>
      <c r="AQ30" s="6">
        <v>1.67</v>
      </c>
      <c r="AR30" s="6">
        <v>3.9</v>
      </c>
      <c r="AS30" s="6"/>
      <c r="AT30" s="6"/>
      <c r="AU30" s="6"/>
    </row>
    <row r="31" spans="1:47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>
        <v>0.22</v>
      </c>
      <c r="L31" s="6">
        <v>6.1</v>
      </c>
      <c r="M31" s="4"/>
      <c r="N31" s="4"/>
      <c r="O31" s="4"/>
      <c r="P31" s="6"/>
      <c r="Q31" s="4"/>
      <c r="R31" s="4"/>
      <c r="S31" s="4">
        <v>4.63</v>
      </c>
      <c r="T31" s="4">
        <v>5.37</v>
      </c>
      <c r="U31" s="4"/>
      <c r="V31" s="4"/>
      <c r="W31" s="4"/>
      <c r="X31" s="6"/>
      <c r="Y31" s="4"/>
      <c r="Z31" s="4"/>
      <c r="AA31" s="4">
        <v>6.03</v>
      </c>
      <c r="AB31" s="4">
        <v>6.44</v>
      </c>
      <c r="AC31" s="4"/>
      <c r="AD31" s="4"/>
      <c r="AE31" s="4"/>
      <c r="AF31" s="6"/>
      <c r="AG31" s="6"/>
      <c r="AH31" s="6"/>
      <c r="AI31" s="6">
        <v>5.17</v>
      </c>
      <c r="AJ31" s="6">
        <v>7</v>
      </c>
      <c r="AK31" s="6"/>
      <c r="AL31" s="6"/>
      <c r="AM31" s="6"/>
      <c r="AN31" s="6"/>
      <c r="AO31" s="6"/>
      <c r="AP31" s="6"/>
      <c r="AQ31" s="6">
        <v>1.52</v>
      </c>
      <c r="AR31" s="6">
        <v>3.79</v>
      </c>
      <c r="AS31" s="6"/>
      <c r="AT31" s="6"/>
      <c r="AU31" s="6"/>
    </row>
    <row r="32" spans="1:47" x14ac:dyDescent="0.25">
      <c r="A32" s="4"/>
      <c r="B32" s="5"/>
      <c r="C32" s="4"/>
      <c r="D32" s="4"/>
      <c r="E32" s="4"/>
      <c r="F32" s="4"/>
      <c r="G32" s="4"/>
      <c r="H32" s="6"/>
      <c r="I32" s="6"/>
      <c r="J32" s="5"/>
      <c r="K32" s="6">
        <v>1.87</v>
      </c>
      <c r="L32" s="4">
        <v>7.3</v>
      </c>
      <c r="M32" s="4"/>
      <c r="N32" s="4"/>
      <c r="O32" s="4"/>
      <c r="P32" s="6"/>
      <c r="Q32" s="6"/>
      <c r="R32" s="5"/>
      <c r="S32" s="6">
        <v>1.92</v>
      </c>
      <c r="T32" s="6">
        <v>12.67</v>
      </c>
      <c r="U32" s="4"/>
      <c r="V32" s="4"/>
      <c r="W32" s="4"/>
      <c r="X32" s="6"/>
      <c r="Y32" s="6"/>
      <c r="Z32" s="5"/>
      <c r="AA32" s="6">
        <v>1.47</v>
      </c>
      <c r="AB32" s="6">
        <v>5.81</v>
      </c>
      <c r="AC32" s="4"/>
      <c r="AD32" s="4"/>
      <c r="AE32" s="4"/>
      <c r="AF32" s="6"/>
      <c r="AG32" s="6"/>
      <c r="AH32" s="6"/>
      <c r="AI32" s="6">
        <v>4.17</v>
      </c>
      <c r="AJ32" s="6">
        <v>6.19</v>
      </c>
      <c r="AK32" s="6"/>
      <c r="AL32" s="6"/>
      <c r="AM32" s="6"/>
      <c r="AN32" s="6"/>
      <c r="AO32" s="6"/>
      <c r="AP32" s="6"/>
      <c r="AQ32" s="6">
        <v>0.82</v>
      </c>
      <c r="AR32" s="6">
        <v>2.75</v>
      </c>
      <c r="AS32" s="6"/>
      <c r="AT32" s="6"/>
      <c r="AU32" s="6"/>
    </row>
  </sheetData>
  <mergeCells count="6">
    <mergeCell ref="AO1:AU1"/>
    <mergeCell ref="A1:G1"/>
    <mergeCell ref="I1:O1"/>
    <mergeCell ref="Q1:W1"/>
    <mergeCell ref="Y1:AE1"/>
    <mergeCell ref="AG1:A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8901-18DA-D24F-B437-67E8655ED000}">
  <dimension ref="A1:AU92"/>
  <sheetViews>
    <sheetView topLeftCell="A34" zoomScale="75" workbookViewId="0">
      <selection activeCell="C54" sqref="C54:D71"/>
    </sheetView>
  </sheetViews>
  <sheetFormatPr defaultColWidth="10.875" defaultRowHeight="15" x14ac:dyDescent="0.2"/>
  <cols>
    <col min="1" max="1" width="16.5" style="1" bestFit="1" customWidth="1"/>
    <col min="2" max="2" width="16.5" style="1" customWidth="1"/>
    <col min="3" max="7" width="10.875" style="1"/>
    <col min="8" max="16384" width="10.875" style="3"/>
  </cols>
  <sheetData>
    <row r="1" spans="1:47" x14ac:dyDescent="0.2">
      <c r="A1" s="54" t="s">
        <v>162</v>
      </c>
      <c r="B1" s="54"/>
      <c r="C1" s="54"/>
      <c r="D1" s="54"/>
      <c r="E1" s="54"/>
      <c r="F1" s="54"/>
      <c r="G1" s="54"/>
      <c r="I1" s="54" t="s">
        <v>163</v>
      </c>
      <c r="J1" s="54"/>
      <c r="K1" s="54"/>
      <c r="L1" s="54"/>
      <c r="M1" s="54"/>
      <c r="N1" s="54"/>
      <c r="O1" s="54"/>
      <c r="Q1" s="54" t="s">
        <v>164</v>
      </c>
      <c r="R1" s="54"/>
      <c r="S1" s="54"/>
      <c r="T1" s="54"/>
      <c r="U1" s="54"/>
      <c r="V1" s="54"/>
      <c r="W1" s="54"/>
      <c r="Y1" s="54" t="s">
        <v>165</v>
      </c>
      <c r="Z1" s="54"/>
      <c r="AA1" s="54"/>
      <c r="AB1" s="54"/>
      <c r="AC1" s="54"/>
      <c r="AD1" s="54"/>
      <c r="AE1" s="54"/>
      <c r="AG1" s="54" t="s">
        <v>166</v>
      </c>
      <c r="AH1" s="54"/>
      <c r="AI1" s="54"/>
      <c r="AJ1" s="54"/>
      <c r="AK1" s="54"/>
      <c r="AL1" s="54"/>
      <c r="AM1" s="54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">
      <c r="A3" s="1" t="s">
        <v>12</v>
      </c>
      <c r="B3" s="2">
        <v>45334</v>
      </c>
      <c r="C3" s="1">
        <v>0.21</v>
      </c>
      <c r="E3" s="1">
        <f>AVERAGE(C3:C7)</f>
        <v>0.21</v>
      </c>
      <c r="F3" s="1">
        <f>AVERAGE(D3:D7)</f>
        <v>5.6833333333333336</v>
      </c>
      <c r="G3" s="1">
        <f>F3/E3</f>
        <v>27.063492063492067</v>
      </c>
      <c r="I3" s="1" t="s">
        <v>21</v>
      </c>
      <c r="J3" s="2">
        <v>45341</v>
      </c>
      <c r="K3" s="1">
        <v>1.63</v>
      </c>
      <c r="L3" s="1"/>
      <c r="M3" s="1">
        <f>AVERAGE(K3:K7)</f>
        <v>0.85333333333333317</v>
      </c>
      <c r="N3" s="1">
        <f>AVERAGE(L3:L7)</f>
        <v>8.2933333333333348</v>
      </c>
      <c r="O3" s="1">
        <f>N3/M3</f>
        <v>9.7187500000000036</v>
      </c>
      <c r="Q3" s="3" t="s">
        <v>17</v>
      </c>
      <c r="R3" s="2">
        <v>45337</v>
      </c>
      <c r="S3" s="3">
        <v>0.2</v>
      </c>
      <c r="T3" s="3">
        <v>8.32</v>
      </c>
      <c r="U3" s="1">
        <f>AVERAGE(S3:S7)</f>
        <v>0.54666666666666663</v>
      </c>
      <c r="V3" s="1">
        <f>AVERAGE(T3:T7)</f>
        <v>6.583333333333333</v>
      </c>
      <c r="W3" s="1">
        <f>V3/U3</f>
        <v>12.042682926829269</v>
      </c>
      <c r="Y3" s="3" t="s">
        <v>25</v>
      </c>
      <c r="Z3" s="2">
        <v>45343</v>
      </c>
      <c r="AC3" s="1">
        <f>AVERAGE(AA3:AA7)</f>
        <v>0.58666666666666667</v>
      </c>
      <c r="AD3" s="1">
        <f>AVERAGE(AB3:AB7)</f>
        <v>2.9966666666666666</v>
      </c>
      <c r="AE3" s="1">
        <f>AD3/AC3</f>
        <v>5.107954545454545</v>
      </c>
      <c r="AG3" s="3" t="s">
        <v>35</v>
      </c>
      <c r="AH3" s="53">
        <v>45338</v>
      </c>
      <c r="AI3" s="3">
        <v>0.67</v>
      </c>
      <c r="AJ3" s="3">
        <v>4.25</v>
      </c>
      <c r="AK3" s="1">
        <f>AVERAGE(AI3:AI7)</f>
        <v>0.82</v>
      </c>
      <c r="AL3" s="1">
        <f>AVERAGE(AJ3:AJ7)</f>
        <v>4.7733333333333334</v>
      </c>
      <c r="AM3" s="1">
        <f>AL3/AK3</f>
        <v>5.821138211382114</v>
      </c>
      <c r="AO3" s="3" t="s">
        <v>39</v>
      </c>
      <c r="AP3" s="53">
        <v>45345</v>
      </c>
      <c r="AQ3" s="3">
        <v>0.26</v>
      </c>
      <c r="AS3" s="1">
        <f>AVERAGE(AQ3:AQ7)</f>
        <v>0.22</v>
      </c>
      <c r="AT3" s="1">
        <f>AVERAGE(AR3:AR7)</f>
        <v>6.3666666666666671</v>
      </c>
      <c r="AU3" s="1">
        <f>AT3/AS3</f>
        <v>28.939393939393941</v>
      </c>
    </row>
    <row r="4" spans="1:47" x14ac:dyDescent="0.2">
      <c r="B4" s="2"/>
      <c r="C4" s="1">
        <v>0.28999999999999998</v>
      </c>
      <c r="D4" s="1">
        <v>4.8</v>
      </c>
      <c r="J4" s="2"/>
      <c r="K4" s="1"/>
      <c r="L4" s="1"/>
      <c r="M4" s="1"/>
      <c r="N4" s="1"/>
      <c r="O4" s="1"/>
      <c r="R4" s="2"/>
      <c r="U4" s="1"/>
      <c r="V4" s="1"/>
      <c r="W4" s="1"/>
      <c r="Z4" s="2"/>
      <c r="AA4" s="3">
        <v>0.75</v>
      </c>
      <c r="AB4" s="3">
        <v>3.14</v>
      </c>
      <c r="AC4" s="1"/>
      <c r="AD4" s="1"/>
      <c r="AE4" s="1"/>
      <c r="AJ4" s="3">
        <v>4.99</v>
      </c>
      <c r="AK4" s="1"/>
      <c r="AL4" s="1"/>
      <c r="AM4" s="1"/>
      <c r="AS4" s="1"/>
      <c r="AT4" s="1"/>
      <c r="AU4" s="1"/>
    </row>
    <row r="5" spans="1:47" x14ac:dyDescent="0.2">
      <c r="B5" s="2"/>
      <c r="D5" s="1">
        <v>5.77</v>
      </c>
      <c r="J5" s="2"/>
      <c r="K5" s="1">
        <v>0.46</v>
      </c>
      <c r="L5" s="1">
        <v>7.9</v>
      </c>
      <c r="M5" s="1"/>
      <c r="N5" s="1"/>
      <c r="O5" s="1"/>
      <c r="R5" s="2"/>
      <c r="S5" s="3">
        <v>1.24</v>
      </c>
      <c r="U5" s="1"/>
      <c r="V5" s="1"/>
      <c r="W5" s="1"/>
      <c r="Z5" s="2"/>
      <c r="AC5" s="1"/>
      <c r="AD5" s="1"/>
      <c r="AE5" s="1"/>
      <c r="AI5" s="3">
        <v>0.46</v>
      </c>
      <c r="AJ5" s="3">
        <v>5.08</v>
      </c>
      <c r="AK5" s="1"/>
      <c r="AL5" s="1"/>
      <c r="AM5" s="1"/>
      <c r="AQ5" s="3">
        <v>0.18</v>
      </c>
      <c r="AR5" s="3">
        <v>8.77</v>
      </c>
      <c r="AS5" s="1"/>
      <c r="AT5" s="1"/>
      <c r="AU5" s="1"/>
    </row>
    <row r="6" spans="1:47" x14ac:dyDescent="0.2">
      <c r="B6" s="2"/>
      <c r="C6" s="1">
        <v>0.13</v>
      </c>
      <c r="J6" s="2"/>
      <c r="K6" s="1">
        <v>0.47</v>
      </c>
      <c r="L6" s="1">
        <v>10.24</v>
      </c>
      <c r="M6" s="1"/>
      <c r="N6" s="1"/>
      <c r="O6" s="1"/>
      <c r="R6" s="2"/>
      <c r="T6" s="3">
        <v>6.36</v>
      </c>
      <c r="U6" s="1"/>
      <c r="V6" s="1"/>
      <c r="W6" s="1"/>
      <c r="Z6" s="2"/>
      <c r="AA6" s="3">
        <v>0.79</v>
      </c>
      <c r="AB6" s="3">
        <v>2.12</v>
      </c>
      <c r="AC6" s="1"/>
      <c r="AD6" s="1"/>
      <c r="AE6" s="1"/>
      <c r="AI6" s="3">
        <v>1.33</v>
      </c>
      <c r="AK6" s="1"/>
      <c r="AL6" s="1"/>
      <c r="AM6" s="1"/>
      <c r="AQ6" s="3">
        <v>0.22</v>
      </c>
      <c r="AR6" s="3">
        <v>3.35</v>
      </c>
      <c r="AS6" s="1"/>
      <c r="AT6" s="1"/>
      <c r="AU6" s="1"/>
    </row>
    <row r="7" spans="1:47" x14ac:dyDescent="0.2">
      <c r="B7" s="2"/>
      <c r="D7" s="1">
        <v>6.48</v>
      </c>
      <c r="I7" s="1"/>
      <c r="J7" s="2"/>
      <c r="K7" s="1"/>
      <c r="L7" s="1">
        <v>6.74</v>
      </c>
      <c r="M7" s="1"/>
      <c r="N7" s="1"/>
      <c r="O7" s="1"/>
      <c r="R7" s="2"/>
      <c r="S7" s="3">
        <v>0.2</v>
      </c>
      <c r="T7" s="3">
        <v>5.07</v>
      </c>
      <c r="U7" s="1"/>
      <c r="V7" s="1"/>
      <c r="W7" s="1"/>
      <c r="Z7" s="2"/>
      <c r="AA7" s="3">
        <v>0.22</v>
      </c>
      <c r="AB7" s="3">
        <v>3.73</v>
      </c>
      <c r="AC7" s="1"/>
      <c r="AD7" s="1"/>
      <c r="AE7" s="1"/>
      <c r="AK7" s="1"/>
      <c r="AL7" s="1"/>
      <c r="AM7" s="1"/>
      <c r="AR7" s="3">
        <v>6.98</v>
      </c>
      <c r="AS7" s="1"/>
      <c r="AT7" s="1"/>
      <c r="AU7" s="1"/>
    </row>
    <row r="8" spans="1:47" s="6" customFormat="1" x14ac:dyDescent="0.2">
      <c r="A8" s="4" t="s">
        <v>13</v>
      </c>
      <c r="B8" s="5"/>
      <c r="C8" s="4"/>
      <c r="D8" s="4">
        <v>6.48</v>
      </c>
      <c r="E8" s="4">
        <f>AVERAGE(C8:C12)</f>
        <v>0.14333333333333334</v>
      </c>
      <c r="F8" s="4">
        <f>AVERAGE(D8:D12)</f>
        <v>4.6433333333333335</v>
      </c>
      <c r="G8" s="4">
        <f>F8/E8</f>
        <v>32.395348837209305</v>
      </c>
      <c r="I8" s="4" t="s">
        <v>22</v>
      </c>
      <c r="J8" s="5"/>
      <c r="K8" s="4"/>
      <c r="L8" s="4"/>
      <c r="M8" s="4">
        <f>AVERAGE(K8:K12)</f>
        <v>0.28999999999999998</v>
      </c>
      <c r="N8" s="4">
        <f>AVERAGE(L8:L12)</f>
        <v>5.2</v>
      </c>
      <c r="O8" s="4">
        <f>N8/M8</f>
        <v>17.931034482758623</v>
      </c>
      <c r="Q8" s="6" t="s">
        <v>18</v>
      </c>
      <c r="R8" s="5"/>
      <c r="S8" s="6">
        <v>0.24</v>
      </c>
      <c r="U8" s="4">
        <f>AVERAGE(S8:S12)</f>
        <v>0.33666666666666667</v>
      </c>
      <c r="V8" s="4">
        <f>AVERAGE(T8:T12)</f>
        <v>10.156666666666668</v>
      </c>
      <c r="W8" s="4">
        <f>V8/U8</f>
        <v>30.168316831683171</v>
      </c>
      <c r="Y8" s="6" t="s">
        <v>26</v>
      </c>
      <c r="Z8" s="5"/>
      <c r="AA8" s="6">
        <v>0.2</v>
      </c>
      <c r="AC8" s="4">
        <f>AVERAGE(AA8:AA12)</f>
        <v>0.88</v>
      </c>
      <c r="AD8" s="4">
        <f>AVERAGE(AB8:AB12)</f>
        <v>4.9633333333333338</v>
      </c>
      <c r="AE8" s="4">
        <f>AD8/AC8</f>
        <v>5.6401515151515156</v>
      </c>
      <c r="AG8" s="6" t="s">
        <v>36</v>
      </c>
      <c r="AI8" s="6">
        <v>0.98</v>
      </c>
      <c r="AK8" s="4">
        <f>AVERAGE(AI8:AI12)</f>
        <v>0.43</v>
      </c>
      <c r="AL8" s="4">
        <f>AVERAGE(AJ8:AJ12)</f>
        <v>6.8599999999999994</v>
      </c>
      <c r="AM8" s="4">
        <f>AL8/AK8</f>
        <v>15.953488372093021</v>
      </c>
      <c r="AO8" s="6" t="s">
        <v>40</v>
      </c>
      <c r="AS8" s="4">
        <f>AVERAGE(AQ8:AQ12)</f>
        <v>0.34</v>
      </c>
      <c r="AT8" s="4">
        <f>AVERAGE(AR8:AR12)</f>
        <v>3.8166666666666664</v>
      </c>
      <c r="AU8" s="4">
        <f>AT8/AS8</f>
        <v>11.225490196078431</v>
      </c>
    </row>
    <row r="9" spans="1:47" s="6" customFormat="1" x14ac:dyDescent="0.2">
      <c r="A9" s="4"/>
      <c r="B9" s="5"/>
      <c r="C9" s="4">
        <v>0.17</v>
      </c>
      <c r="D9" s="4"/>
      <c r="E9" s="4"/>
      <c r="F9" s="4"/>
      <c r="G9" s="4"/>
      <c r="I9" s="4"/>
      <c r="J9" s="5"/>
      <c r="K9" s="4"/>
      <c r="L9" s="4"/>
      <c r="M9" s="4"/>
      <c r="N9" s="4"/>
      <c r="O9" s="4"/>
      <c r="R9" s="5"/>
      <c r="S9" s="6">
        <v>0.28999999999999998</v>
      </c>
      <c r="T9" s="6">
        <v>10.17</v>
      </c>
      <c r="U9" s="4"/>
      <c r="V9" s="4"/>
      <c r="W9" s="4"/>
      <c r="Z9" s="5"/>
      <c r="AA9" s="6">
        <v>0.65</v>
      </c>
      <c r="AC9" s="4"/>
      <c r="AD9" s="4"/>
      <c r="AE9" s="4"/>
      <c r="AI9" s="6">
        <v>0.17</v>
      </c>
      <c r="AJ9" s="6">
        <v>4.4000000000000004</v>
      </c>
      <c r="AK9" s="4"/>
      <c r="AL9" s="4"/>
      <c r="AM9" s="4"/>
      <c r="AQ9" s="6">
        <v>0.34</v>
      </c>
      <c r="AR9" s="6">
        <v>3.46</v>
      </c>
      <c r="AS9" s="4"/>
      <c r="AT9" s="4"/>
      <c r="AU9" s="4"/>
    </row>
    <row r="10" spans="1:47" s="6" customFormat="1" x14ac:dyDescent="0.2">
      <c r="A10" s="4"/>
      <c r="B10" s="5"/>
      <c r="C10" s="4">
        <v>0.15</v>
      </c>
      <c r="D10" s="4"/>
      <c r="E10" s="4"/>
      <c r="F10" s="4"/>
      <c r="G10" s="4"/>
      <c r="I10" s="4"/>
      <c r="J10" s="5"/>
      <c r="K10" s="4">
        <v>0.44</v>
      </c>
      <c r="L10" s="4">
        <v>7.26</v>
      </c>
      <c r="M10" s="4"/>
      <c r="N10" s="4"/>
      <c r="O10" s="4"/>
      <c r="R10" s="5"/>
      <c r="S10" s="6">
        <v>0.48</v>
      </c>
      <c r="T10" s="6">
        <v>8</v>
      </c>
      <c r="U10" s="4"/>
      <c r="V10" s="4"/>
      <c r="W10" s="4"/>
      <c r="Z10" s="5"/>
      <c r="AA10" s="6">
        <v>1.79</v>
      </c>
      <c r="AB10" s="6">
        <v>4.62</v>
      </c>
      <c r="AC10" s="4"/>
      <c r="AD10" s="4"/>
      <c r="AE10" s="4"/>
      <c r="AK10" s="4"/>
      <c r="AL10" s="4"/>
      <c r="AM10" s="4"/>
      <c r="AS10" s="4"/>
      <c r="AT10" s="4"/>
      <c r="AU10" s="4"/>
    </row>
    <row r="11" spans="1:47" s="6" customFormat="1" x14ac:dyDescent="0.2">
      <c r="A11" s="4"/>
      <c r="B11" s="5"/>
      <c r="C11" s="4">
        <v>0.11</v>
      </c>
      <c r="D11" s="4">
        <v>1.7</v>
      </c>
      <c r="E11" s="4"/>
      <c r="F11" s="4"/>
      <c r="G11" s="4"/>
      <c r="I11" s="4"/>
      <c r="J11" s="5"/>
      <c r="K11" s="4">
        <v>0.31</v>
      </c>
      <c r="L11" s="4">
        <v>2.81</v>
      </c>
      <c r="M11" s="4"/>
      <c r="N11" s="4"/>
      <c r="O11" s="4"/>
      <c r="R11" s="5"/>
      <c r="T11" s="6">
        <v>12.3</v>
      </c>
      <c r="U11" s="4"/>
      <c r="V11" s="4"/>
      <c r="W11" s="4"/>
      <c r="Z11" s="5"/>
      <c r="AB11" s="6">
        <v>5.44</v>
      </c>
      <c r="AC11" s="4"/>
      <c r="AD11" s="4"/>
      <c r="AE11" s="4"/>
      <c r="AJ11" s="6">
        <v>7.18</v>
      </c>
      <c r="AK11" s="4"/>
      <c r="AL11" s="4"/>
      <c r="AM11" s="4"/>
      <c r="AQ11" s="6">
        <v>0.5</v>
      </c>
      <c r="AR11" s="6">
        <v>4.67</v>
      </c>
      <c r="AS11" s="4"/>
      <c r="AT11" s="4"/>
      <c r="AU11" s="4"/>
    </row>
    <row r="12" spans="1:47" s="6" customFormat="1" x14ac:dyDescent="0.2">
      <c r="A12" s="4"/>
      <c r="B12" s="5"/>
      <c r="C12" s="4"/>
      <c r="D12" s="4">
        <v>5.75</v>
      </c>
      <c r="E12" s="4"/>
      <c r="F12" s="4"/>
      <c r="G12" s="4"/>
      <c r="I12" s="4"/>
      <c r="J12" s="5"/>
      <c r="K12" s="4">
        <v>0.12</v>
      </c>
      <c r="L12" s="4">
        <v>5.53</v>
      </c>
      <c r="M12" s="4"/>
      <c r="N12" s="4"/>
      <c r="O12" s="4"/>
      <c r="R12" s="5"/>
      <c r="U12" s="4"/>
      <c r="V12" s="4"/>
      <c r="W12" s="4"/>
      <c r="Z12" s="5"/>
      <c r="AB12" s="6">
        <v>4.83</v>
      </c>
      <c r="AC12" s="4"/>
      <c r="AD12" s="4"/>
      <c r="AE12" s="4"/>
      <c r="AI12" s="6">
        <v>0.14000000000000001</v>
      </c>
      <c r="AJ12" s="6">
        <v>9</v>
      </c>
      <c r="AK12" s="4"/>
      <c r="AL12" s="4"/>
      <c r="AM12" s="4"/>
      <c r="AQ12" s="6">
        <v>0.18</v>
      </c>
      <c r="AR12" s="6">
        <v>3.32</v>
      </c>
      <c r="AS12" s="4"/>
      <c r="AT12" s="4"/>
      <c r="AU12" s="4"/>
    </row>
    <row r="13" spans="1:47" x14ac:dyDescent="0.2">
      <c r="A13" s="1" t="s">
        <v>14</v>
      </c>
      <c r="B13" s="2"/>
      <c r="E13" s="1">
        <f>AVERAGE(C13:C17)</f>
        <v>1.05</v>
      </c>
      <c r="F13" s="1">
        <f>AVERAGE(D13:D17)</f>
        <v>5.3366666666666669</v>
      </c>
      <c r="G13" s="1">
        <f>F13/E13</f>
        <v>5.0825396825396822</v>
      </c>
      <c r="I13" s="1" t="s">
        <v>23</v>
      </c>
      <c r="J13" s="2"/>
      <c r="K13" s="1"/>
      <c r="L13" s="1"/>
      <c r="M13" s="1">
        <f>AVERAGE(K13:K17)</f>
        <v>0.24</v>
      </c>
      <c r="N13" s="1">
        <f>AVERAGE(L13:L17)</f>
        <v>7.13</v>
      </c>
      <c r="O13" s="1">
        <f>N13/M13</f>
        <v>29.708333333333336</v>
      </c>
      <c r="Q13" s="3" t="s">
        <v>19</v>
      </c>
      <c r="R13" s="2"/>
      <c r="U13" s="1">
        <f>AVERAGE(S13:S17)</f>
        <v>1.0266666666666666</v>
      </c>
      <c r="V13" s="1">
        <f>AVERAGE(T13:T17)</f>
        <v>6.6500000000000012</v>
      </c>
      <c r="W13" s="1">
        <f>V13/U13</f>
        <v>6.4772727272727284</v>
      </c>
      <c r="Y13" s="3" t="s">
        <v>27</v>
      </c>
      <c r="Z13" s="2"/>
      <c r="AB13" s="3">
        <v>6.79</v>
      </c>
      <c r="AC13" s="1">
        <f>AVERAGE(AA13:AA17)</f>
        <v>0.78666666666666663</v>
      </c>
      <c r="AD13" s="1">
        <f>AVERAGE(AB13:AB17)</f>
        <v>5.2633333333333328</v>
      </c>
      <c r="AE13" s="1">
        <f>AD13/AC13</f>
        <v>6.6906779661016946</v>
      </c>
      <c r="AG13" s="3" t="s">
        <v>37</v>
      </c>
      <c r="AI13" s="3">
        <v>0.37</v>
      </c>
      <c r="AJ13" s="3">
        <v>3.35</v>
      </c>
      <c r="AK13" s="1">
        <f>AVERAGE(AI13:AI17)</f>
        <v>0.26333333333333336</v>
      </c>
      <c r="AL13" s="1">
        <f>AVERAGE(AJ13:AJ17)</f>
        <v>3.14</v>
      </c>
      <c r="AM13" s="1">
        <f>AL13/AK13</f>
        <v>11.924050632911392</v>
      </c>
      <c r="AO13" s="3" t="s">
        <v>41</v>
      </c>
      <c r="AQ13" s="3">
        <v>0.15</v>
      </c>
      <c r="AR13" s="3">
        <v>5.12</v>
      </c>
      <c r="AS13" s="1">
        <f>AVERAGE(AQ13:AQ17)</f>
        <v>0.12000000000000001</v>
      </c>
      <c r="AT13" s="1">
        <f>AVERAGE(AR13:AR17)</f>
        <v>6.3566666666666665</v>
      </c>
      <c r="AU13" s="1">
        <f>AT13/AS13</f>
        <v>52.972222222222214</v>
      </c>
    </row>
    <row r="14" spans="1:47" x14ac:dyDescent="0.2">
      <c r="B14" s="2"/>
      <c r="C14" s="1">
        <v>1.38</v>
      </c>
      <c r="D14" s="1">
        <v>4.4800000000000004</v>
      </c>
      <c r="I14" s="1"/>
      <c r="J14" s="2"/>
      <c r="K14" s="1">
        <v>0.19</v>
      </c>
      <c r="L14" s="1">
        <v>4.93</v>
      </c>
      <c r="M14" s="1"/>
      <c r="N14" s="1"/>
      <c r="O14" s="1"/>
      <c r="R14" s="2"/>
      <c r="S14" s="3">
        <v>1.17</v>
      </c>
      <c r="T14" s="3">
        <v>6.13</v>
      </c>
      <c r="U14" s="1"/>
      <c r="V14" s="1"/>
      <c r="W14" s="1"/>
      <c r="Z14" s="2"/>
      <c r="AA14" s="3">
        <v>1.38</v>
      </c>
      <c r="AC14" s="1"/>
      <c r="AD14" s="1"/>
      <c r="AE14" s="1"/>
      <c r="AJ14" s="3">
        <v>3.56</v>
      </c>
      <c r="AK14" s="1"/>
      <c r="AL14" s="1"/>
      <c r="AM14" s="1"/>
      <c r="AR14" s="3">
        <v>7.02</v>
      </c>
      <c r="AS14" s="1"/>
      <c r="AT14" s="1"/>
      <c r="AU14" s="1"/>
    </row>
    <row r="15" spans="1:47" x14ac:dyDescent="0.2">
      <c r="B15" s="2"/>
      <c r="D15" s="1">
        <v>5.73</v>
      </c>
      <c r="I15" s="1"/>
      <c r="J15" s="2"/>
      <c r="K15" s="1"/>
      <c r="L15" s="1"/>
      <c r="M15" s="1"/>
      <c r="N15" s="1"/>
      <c r="O15" s="1"/>
      <c r="R15" s="2"/>
      <c r="T15" s="3">
        <v>6.99</v>
      </c>
      <c r="U15" s="1"/>
      <c r="V15" s="1"/>
      <c r="W15" s="1"/>
      <c r="Z15" s="2"/>
      <c r="AA15" s="3">
        <v>0.49</v>
      </c>
      <c r="AB15" s="3">
        <v>4.41</v>
      </c>
      <c r="AC15" s="1"/>
      <c r="AD15" s="1"/>
      <c r="AE15" s="1"/>
      <c r="AI15" s="3">
        <v>0.27</v>
      </c>
      <c r="AK15" s="1"/>
      <c r="AL15" s="1"/>
      <c r="AM15" s="1"/>
      <c r="AQ15" s="3">
        <v>0.13</v>
      </c>
      <c r="AR15" s="3">
        <v>6.93</v>
      </c>
      <c r="AS15" s="1"/>
      <c r="AT15" s="1"/>
      <c r="AU15" s="1"/>
    </row>
    <row r="16" spans="1:47" x14ac:dyDescent="0.2">
      <c r="B16" s="2"/>
      <c r="C16" s="1">
        <v>0.78</v>
      </c>
      <c r="I16" s="1"/>
      <c r="J16" s="2"/>
      <c r="K16" s="1">
        <v>0.31</v>
      </c>
      <c r="L16" s="1">
        <v>10.78</v>
      </c>
      <c r="M16" s="1"/>
      <c r="N16" s="1"/>
      <c r="O16" s="1"/>
      <c r="R16" s="2"/>
      <c r="S16" s="3">
        <v>1.3</v>
      </c>
      <c r="T16" s="3">
        <v>6.83</v>
      </c>
      <c r="U16" s="1"/>
      <c r="V16" s="1"/>
      <c r="W16" s="1"/>
      <c r="Z16" s="2"/>
      <c r="AA16" s="3">
        <v>0.49</v>
      </c>
      <c r="AB16" s="3">
        <v>4.59</v>
      </c>
      <c r="AC16" s="1"/>
      <c r="AD16" s="1"/>
      <c r="AE16" s="1"/>
      <c r="AJ16" s="3">
        <v>2.5099999999999998</v>
      </c>
      <c r="AK16" s="1"/>
      <c r="AL16" s="1"/>
      <c r="AM16" s="1"/>
      <c r="AQ16" s="3">
        <v>0.08</v>
      </c>
      <c r="AS16" s="1"/>
      <c r="AT16" s="1"/>
      <c r="AU16" s="1"/>
    </row>
    <row r="17" spans="1:47" x14ac:dyDescent="0.2">
      <c r="B17" s="2"/>
      <c r="C17" s="1">
        <v>0.99</v>
      </c>
      <c r="D17" s="1">
        <v>5.8</v>
      </c>
      <c r="I17" s="1"/>
      <c r="J17" s="2"/>
      <c r="K17" s="1">
        <v>0.22</v>
      </c>
      <c r="L17" s="1">
        <v>5.68</v>
      </c>
      <c r="M17" s="1"/>
      <c r="N17" s="1"/>
      <c r="O17" s="1"/>
      <c r="R17" s="2"/>
      <c r="S17" s="3">
        <v>0.61</v>
      </c>
      <c r="U17" s="1"/>
      <c r="V17" s="1"/>
      <c r="W17" s="1"/>
      <c r="Z17" s="2"/>
      <c r="AC17" s="1"/>
      <c r="AD17" s="1"/>
      <c r="AE17" s="1"/>
      <c r="AI17" s="3">
        <v>0.15</v>
      </c>
      <c r="AK17" s="1"/>
      <c r="AL17" s="1"/>
      <c r="AM17" s="1"/>
      <c r="AS17" s="1"/>
      <c r="AT17" s="1"/>
      <c r="AU17" s="1"/>
    </row>
    <row r="18" spans="1:47" s="6" customFormat="1" x14ac:dyDescent="0.2">
      <c r="A18" s="4" t="s">
        <v>7</v>
      </c>
      <c r="B18" s="5"/>
      <c r="C18" s="4">
        <v>0.4</v>
      </c>
      <c r="D18" s="4"/>
      <c r="E18" s="4">
        <f>AVERAGE(C18:C22)</f>
        <v>0.43333333333333335</v>
      </c>
      <c r="F18" s="4">
        <f>AVERAGE(D18:D22)</f>
        <v>7.2966666666666669</v>
      </c>
      <c r="G18" s="4">
        <f>F18/E18</f>
        <v>16.838461538461537</v>
      </c>
      <c r="I18" s="4" t="s">
        <v>24</v>
      </c>
      <c r="J18" s="5"/>
      <c r="K18" s="4">
        <v>0.28999999999999998</v>
      </c>
      <c r="L18" s="4">
        <v>8.8800000000000008</v>
      </c>
      <c r="M18" s="4">
        <f>AVERAGE(K18:K22)</f>
        <v>0.31666666666666665</v>
      </c>
      <c r="N18" s="4">
        <f>AVERAGE(L18:L22)</f>
        <v>7.0633333333333335</v>
      </c>
      <c r="O18" s="4">
        <f>N18/M18</f>
        <v>22.305263157894739</v>
      </c>
      <c r="Q18" s="6" t="s">
        <v>20</v>
      </c>
      <c r="R18" s="5"/>
      <c r="U18" s="4">
        <f>AVERAGE(S18:S22)</f>
        <v>0.8833333333333333</v>
      </c>
      <c r="V18" s="4">
        <f>AVERAGE(T18:T22)</f>
        <v>7.6599999999999993</v>
      </c>
      <c r="W18" s="4">
        <f>V18/U18</f>
        <v>8.6716981132075475</v>
      </c>
      <c r="Y18" s="6" t="s">
        <v>30</v>
      </c>
      <c r="Z18" s="5"/>
      <c r="AB18" s="6">
        <v>5.12</v>
      </c>
      <c r="AC18" s="4">
        <f>AVERAGE(AA18:AA22)</f>
        <v>0.93333333333333324</v>
      </c>
      <c r="AD18" s="4">
        <f>AVERAGE(AB18:AB22)</f>
        <v>6.6533333333333333</v>
      </c>
      <c r="AE18" s="4">
        <f>AD18/AC18</f>
        <v>7.128571428571429</v>
      </c>
      <c r="AG18" s="6" t="s">
        <v>38</v>
      </c>
      <c r="AK18" s="4">
        <f>AVERAGE(AI18:AI22)</f>
        <v>0.36000000000000004</v>
      </c>
      <c r="AL18" s="4">
        <f>AVERAGE(AJ18:AJ22)</f>
        <v>6.2233333333333336</v>
      </c>
      <c r="AM18" s="4">
        <f>AL18/AK18</f>
        <v>17.287037037037035</v>
      </c>
      <c r="AO18" s="6" t="s">
        <v>42</v>
      </c>
      <c r="AQ18" s="6">
        <v>0.46</v>
      </c>
      <c r="AR18" s="6">
        <v>6.88</v>
      </c>
      <c r="AS18" s="4">
        <f>AVERAGE(AQ18:AQ22)</f>
        <v>0.42333333333333334</v>
      </c>
      <c r="AT18" s="4">
        <f>AVERAGE(AR18:AR22)</f>
        <v>6.126666666666666</v>
      </c>
      <c r="AU18" s="4">
        <f>AT18/AS18</f>
        <v>14.472440944881889</v>
      </c>
    </row>
    <row r="19" spans="1:47" s="6" customFormat="1" x14ac:dyDescent="0.2">
      <c r="A19" s="4"/>
      <c r="B19" s="5"/>
      <c r="C19" s="4">
        <v>0.44</v>
      </c>
      <c r="D19" s="4">
        <v>6.78</v>
      </c>
      <c r="E19" s="4"/>
      <c r="F19" s="4"/>
      <c r="G19" s="4"/>
      <c r="I19" s="4"/>
      <c r="J19" s="5"/>
      <c r="K19" s="4"/>
      <c r="L19" s="4"/>
      <c r="M19" s="4"/>
      <c r="N19" s="4"/>
      <c r="O19" s="4"/>
      <c r="R19" s="5"/>
      <c r="S19" s="6">
        <v>0.88</v>
      </c>
      <c r="U19" s="4"/>
      <c r="V19" s="4"/>
      <c r="W19" s="4"/>
      <c r="Z19" s="5"/>
      <c r="AA19" s="6">
        <v>0.73</v>
      </c>
      <c r="AB19" s="6">
        <v>7</v>
      </c>
      <c r="AC19" s="4"/>
      <c r="AD19" s="4"/>
      <c r="AE19" s="4"/>
      <c r="AJ19" s="6">
        <v>7.16</v>
      </c>
      <c r="AK19" s="4"/>
      <c r="AL19" s="4"/>
      <c r="AM19" s="4"/>
      <c r="AR19" s="6">
        <v>4.66</v>
      </c>
      <c r="AS19" s="4"/>
      <c r="AT19" s="4"/>
      <c r="AU19" s="4"/>
    </row>
    <row r="20" spans="1:47" s="6" customFormat="1" x14ac:dyDescent="0.2">
      <c r="A20" s="4"/>
      <c r="B20" s="5"/>
      <c r="C20" s="4"/>
      <c r="D20" s="4">
        <v>7.35</v>
      </c>
      <c r="E20" s="4"/>
      <c r="F20" s="4"/>
      <c r="G20" s="4"/>
      <c r="I20" s="4"/>
      <c r="J20" s="5"/>
      <c r="K20" s="4">
        <v>0.3</v>
      </c>
      <c r="L20" s="4">
        <v>4.7699999999999996</v>
      </c>
      <c r="M20" s="4"/>
      <c r="N20" s="4"/>
      <c r="O20" s="4"/>
      <c r="R20" s="5"/>
      <c r="S20" s="6">
        <v>0.9</v>
      </c>
      <c r="T20" s="6">
        <v>6.73</v>
      </c>
      <c r="U20" s="4"/>
      <c r="V20" s="4"/>
      <c r="W20" s="4"/>
      <c r="Z20" s="5"/>
      <c r="AC20" s="4"/>
      <c r="AD20" s="4"/>
      <c r="AE20" s="4"/>
      <c r="AI20" s="6">
        <v>0.08</v>
      </c>
      <c r="AJ20" s="6">
        <v>5.5</v>
      </c>
      <c r="AK20" s="4"/>
      <c r="AL20" s="4"/>
      <c r="AM20" s="4"/>
      <c r="AQ20" s="6">
        <v>0.19</v>
      </c>
      <c r="AR20" s="6">
        <v>6.84</v>
      </c>
      <c r="AS20" s="4"/>
      <c r="AT20" s="4"/>
      <c r="AU20" s="4"/>
    </row>
    <row r="21" spans="1:47" s="6" customFormat="1" x14ac:dyDescent="0.2">
      <c r="A21" s="4"/>
      <c r="B21" s="5"/>
      <c r="C21" s="4">
        <v>0.46</v>
      </c>
      <c r="D21" s="4"/>
      <c r="E21" s="4"/>
      <c r="F21" s="4"/>
      <c r="G21" s="4"/>
      <c r="I21" s="4"/>
      <c r="J21" s="5"/>
      <c r="K21" s="4"/>
      <c r="L21" s="4">
        <v>7.54</v>
      </c>
      <c r="M21" s="4"/>
      <c r="N21" s="4"/>
      <c r="O21" s="4"/>
      <c r="R21" s="5"/>
      <c r="S21" s="6">
        <v>0.87</v>
      </c>
      <c r="T21" s="6">
        <v>6.47</v>
      </c>
      <c r="U21" s="4"/>
      <c r="V21" s="4"/>
      <c r="W21" s="4"/>
      <c r="Z21" s="5"/>
      <c r="AA21" s="6">
        <v>0.79</v>
      </c>
      <c r="AC21" s="4"/>
      <c r="AD21" s="4"/>
      <c r="AE21" s="4"/>
      <c r="AI21" s="6">
        <v>0.05</v>
      </c>
      <c r="AJ21" s="6">
        <v>6.01</v>
      </c>
      <c r="AK21" s="4"/>
      <c r="AL21" s="4"/>
      <c r="AM21" s="4"/>
      <c r="AS21" s="4"/>
      <c r="AT21" s="4"/>
      <c r="AU21" s="4"/>
    </row>
    <row r="22" spans="1:47" s="6" customFormat="1" x14ac:dyDescent="0.2">
      <c r="A22" s="4"/>
      <c r="B22" s="5"/>
      <c r="C22" s="4"/>
      <c r="D22" s="4">
        <v>7.76</v>
      </c>
      <c r="E22" s="4"/>
      <c r="F22" s="4"/>
      <c r="G22" s="4"/>
      <c r="I22" s="4"/>
      <c r="J22" s="5"/>
      <c r="K22" s="4">
        <v>0.36</v>
      </c>
      <c r="L22" s="4"/>
      <c r="M22" s="4"/>
      <c r="N22" s="4"/>
      <c r="O22" s="4"/>
      <c r="R22" s="5"/>
      <c r="T22" s="6">
        <v>9.7799999999999994</v>
      </c>
      <c r="U22" s="4"/>
      <c r="V22" s="4"/>
      <c r="W22" s="4"/>
      <c r="Z22" s="5"/>
      <c r="AA22" s="6">
        <v>1.28</v>
      </c>
      <c r="AB22" s="6">
        <v>7.84</v>
      </c>
      <c r="AC22" s="4"/>
      <c r="AD22" s="4"/>
      <c r="AE22" s="4"/>
      <c r="AI22" s="6">
        <v>0.95</v>
      </c>
      <c r="AK22" s="4"/>
      <c r="AL22" s="4"/>
      <c r="AM22" s="4"/>
      <c r="AQ22" s="6">
        <v>0.62</v>
      </c>
      <c r="AS22" s="4"/>
      <c r="AT22" s="4"/>
      <c r="AU22" s="4"/>
    </row>
    <row r="23" spans="1:47" x14ac:dyDescent="0.2">
      <c r="A23" s="1" t="s">
        <v>9</v>
      </c>
      <c r="B23" s="2"/>
      <c r="C23" s="1">
        <v>1.25</v>
      </c>
      <c r="D23" s="1">
        <v>5.58</v>
      </c>
      <c r="E23" s="1">
        <f>AVERAGE(C23:C27)</f>
        <v>0.61666666666666659</v>
      </c>
      <c r="F23" s="1">
        <f>AVERAGE(D23:D27)</f>
        <v>6.2466666666666661</v>
      </c>
      <c r="G23" s="1">
        <f>F23/E23</f>
        <v>10.12972972972973</v>
      </c>
      <c r="I23" s="1" t="s">
        <v>15</v>
      </c>
      <c r="J23" s="2"/>
      <c r="K23" s="1">
        <v>1.02</v>
      </c>
      <c r="L23" s="1">
        <v>6.8</v>
      </c>
      <c r="M23" s="1">
        <f>AVERAGE(K23:K27)</f>
        <v>1.33</v>
      </c>
      <c r="N23" s="1">
        <f>AVERAGE(L23:L27)</f>
        <v>7.23</v>
      </c>
      <c r="O23" s="1">
        <f>N23/M23</f>
        <v>5.4360902255639099</v>
      </c>
      <c r="Q23" s="3" t="s">
        <v>10</v>
      </c>
      <c r="R23" s="2"/>
      <c r="T23" s="3">
        <v>5.26</v>
      </c>
      <c r="U23" s="1">
        <f>AVERAGE(S23:S27)</f>
        <v>0.27333333333333337</v>
      </c>
      <c r="V23" s="1">
        <f>AVERAGE(T23:T27)</f>
        <v>6.32</v>
      </c>
      <c r="W23" s="1">
        <f>V23/U23</f>
        <v>23.121951219512194</v>
      </c>
      <c r="Y23" s="3" t="s">
        <v>31</v>
      </c>
      <c r="AA23" s="3">
        <v>0.22</v>
      </c>
      <c r="AC23" s="1">
        <f>AVERAGE(AA23:AA27)</f>
        <v>0.4366666666666667</v>
      </c>
      <c r="AD23" s="1">
        <f>AVERAGE(AB23:AB27)</f>
        <v>5.5200000000000005</v>
      </c>
      <c r="AE23" s="1">
        <f>AD23/AC23</f>
        <v>12.641221374045802</v>
      </c>
      <c r="AG23" s="3" t="s">
        <v>28</v>
      </c>
      <c r="AI23" s="3">
        <v>0.18</v>
      </c>
      <c r="AJ23" s="3">
        <v>3.77</v>
      </c>
      <c r="AK23" s="1">
        <f>AVERAGE(AI23:AI27)</f>
        <v>0.27999999999999997</v>
      </c>
      <c r="AL23" s="1">
        <f>AVERAGE(AJ23:AJ27)</f>
        <v>5.1866666666666665</v>
      </c>
      <c r="AM23" s="1">
        <f>AL23/AK23</f>
        <v>18.523809523809526</v>
      </c>
      <c r="AO23" s="3" t="s">
        <v>33</v>
      </c>
      <c r="AQ23" s="3">
        <v>0.17</v>
      </c>
      <c r="AR23" s="3">
        <v>7.88</v>
      </c>
      <c r="AS23" s="1">
        <f>AVERAGE(AQ23:AQ27)</f>
        <v>0.3833333333333333</v>
      </c>
      <c r="AT23" s="1">
        <f>AVERAGE(AR23:AR27)</f>
        <v>7.5633333333333326</v>
      </c>
      <c r="AU23" s="1">
        <f>AT23/AS23</f>
        <v>19.730434782608697</v>
      </c>
    </row>
    <row r="24" spans="1:47" x14ac:dyDescent="0.2">
      <c r="B24" s="2"/>
      <c r="J24" s="2"/>
      <c r="K24" s="1"/>
      <c r="L24" s="1"/>
      <c r="M24" s="1"/>
      <c r="N24" s="1"/>
      <c r="O24" s="1"/>
      <c r="R24" s="2"/>
      <c r="S24" s="3">
        <v>0.26</v>
      </c>
      <c r="U24" s="1"/>
      <c r="V24" s="1"/>
      <c r="W24" s="1"/>
      <c r="AB24" s="3">
        <v>7</v>
      </c>
      <c r="AC24" s="1"/>
      <c r="AD24" s="1"/>
      <c r="AE24" s="1"/>
      <c r="AI24" s="3">
        <v>0.57999999999999996</v>
      </c>
      <c r="AK24" s="1"/>
      <c r="AL24" s="1"/>
      <c r="AM24" s="1"/>
      <c r="AQ24" s="3">
        <v>0.59</v>
      </c>
      <c r="AS24" s="1"/>
      <c r="AT24" s="1"/>
      <c r="AU24" s="1"/>
    </row>
    <row r="25" spans="1:47" x14ac:dyDescent="0.2">
      <c r="B25" s="2"/>
      <c r="C25" s="1">
        <v>0.17</v>
      </c>
      <c r="D25" s="1">
        <v>8.02</v>
      </c>
      <c r="I25" s="1"/>
      <c r="J25" s="2"/>
      <c r="K25" s="1">
        <v>1.62</v>
      </c>
      <c r="L25" s="1">
        <v>7.53</v>
      </c>
      <c r="M25" s="1"/>
      <c r="N25" s="1"/>
      <c r="O25" s="1"/>
      <c r="R25" s="2"/>
      <c r="S25" s="3">
        <v>0.28999999999999998</v>
      </c>
      <c r="T25" s="3">
        <v>5.62</v>
      </c>
      <c r="U25" s="1"/>
      <c r="V25" s="1"/>
      <c r="W25" s="1"/>
      <c r="AA25" s="3">
        <v>0.45</v>
      </c>
      <c r="AC25" s="1"/>
      <c r="AD25" s="1"/>
      <c r="AE25" s="1"/>
      <c r="AJ25" s="3">
        <v>6.32</v>
      </c>
      <c r="AK25" s="1"/>
      <c r="AL25" s="1"/>
      <c r="AM25" s="1"/>
      <c r="AR25" s="3">
        <v>7.82</v>
      </c>
      <c r="AS25" s="1"/>
      <c r="AT25" s="1"/>
      <c r="AU25" s="1"/>
    </row>
    <row r="26" spans="1:47" x14ac:dyDescent="0.2">
      <c r="B26" s="2"/>
      <c r="C26" s="1">
        <v>0.43</v>
      </c>
      <c r="D26" s="1">
        <v>5.14</v>
      </c>
      <c r="I26" s="1"/>
      <c r="J26" s="2"/>
      <c r="K26" s="1"/>
      <c r="L26" s="1"/>
      <c r="M26" s="1"/>
      <c r="N26" s="1"/>
      <c r="O26" s="1"/>
      <c r="R26" s="2"/>
      <c r="S26" s="3">
        <v>0.27</v>
      </c>
      <c r="U26" s="1"/>
      <c r="V26" s="1"/>
      <c r="W26" s="1"/>
      <c r="AA26" s="3">
        <v>0.64</v>
      </c>
      <c r="AB26" s="3">
        <v>4.71</v>
      </c>
      <c r="AC26" s="1"/>
      <c r="AD26" s="1"/>
      <c r="AE26" s="1"/>
      <c r="AJ26" s="3">
        <v>5.47</v>
      </c>
      <c r="AK26" s="1"/>
      <c r="AL26" s="1"/>
      <c r="AM26" s="1"/>
      <c r="AQ26" s="3">
        <v>0.39</v>
      </c>
      <c r="AS26" s="1"/>
      <c r="AT26" s="1"/>
      <c r="AU26" s="1"/>
    </row>
    <row r="27" spans="1:47" x14ac:dyDescent="0.2">
      <c r="B27" s="2"/>
      <c r="I27" s="1"/>
      <c r="J27" s="2"/>
      <c r="K27" s="1">
        <v>1.35</v>
      </c>
      <c r="L27" s="1">
        <v>7.36</v>
      </c>
      <c r="M27" s="1"/>
      <c r="N27" s="1"/>
      <c r="O27" s="1"/>
      <c r="R27" s="2"/>
      <c r="T27" s="3">
        <v>8.08</v>
      </c>
      <c r="U27" s="1"/>
      <c r="V27" s="1"/>
      <c r="W27" s="1"/>
      <c r="AB27" s="3">
        <v>4.8499999999999996</v>
      </c>
      <c r="AC27" s="1"/>
      <c r="AD27" s="1"/>
      <c r="AE27" s="1"/>
      <c r="AI27" s="3">
        <v>0.08</v>
      </c>
      <c r="AK27" s="1"/>
      <c r="AL27" s="1"/>
      <c r="AM27" s="1"/>
      <c r="AR27" s="3">
        <v>6.99</v>
      </c>
      <c r="AS27" s="1"/>
      <c r="AT27" s="1"/>
      <c r="AU27" s="1"/>
    </row>
    <row r="28" spans="1:47" s="6" customFormat="1" x14ac:dyDescent="0.2">
      <c r="A28" s="4"/>
      <c r="B28" s="4"/>
      <c r="C28" s="4"/>
      <c r="D28" s="4"/>
      <c r="E28" s="4"/>
      <c r="F28" s="4"/>
      <c r="G28" s="4"/>
      <c r="I28" s="4" t="s">
        <v>16</v>
      </c>
      <c r="L28" s="6">
        <v>7.7</v>
      </c>
      <c r="M28" s="4">
        <f>AVERAGE(K28:K32)</f>
        <v>0.37333333333333335</v>
      </c>
      <c r="N28" s="4">
        <f>AVERAGE(L28:L32)</f>
        <v>7.3500000000000005</v>
      </c>
      <c r="O28" s="4">
        <f>N28/M28</f>
        <v>19.6875</v>
      </c>
      <c r="Q28" s="6" t="s">
        <v>11</v>
      </c>
      <c r="S28" s="6">
        <v>0.14000000000000001</v>
      </c>
      <c r="T28" s="6">
        <v>7.43</v>
      </c>
      <c r="U28" s="4">
        <f>AVERAGE(S28:S32)</f>
        <v>0.1466666666666667</v>
      </c>
      <c r="V28" s="4">
        <f>AVERAGE(T28:T32)</f>
        <v>6.82</v>
      </c>
      <c r="W28" s="4">
        <f>V28/U28</f>
        <v>46.499999999999993</v>
      </c>
      <c r="Y28" s="6" t="s">
        <v>32</v>
      </c>
      <c r="AA28" s="6">
        <v>1.34</v>
      </c>
      <c r="AB28" s="6">
        <v>6.77</v>
      </c>
      <c r="AC28" s="4">
        <f>AVERAGE(AA28:AA32)</f>
        <v>0.60333333333333339</v>
      </c>
      <c r="AD28" s="4">
        <f>AVERAGE(AB28:AB32)</f>
        <v>6.18</v>
      </c>
      <c r="AE28" s="4">
        <f>AD28/AC28</f>
        <v>10.243093922651932</v>
      </c>
      <c r="AG28" s="6" t="s">
        <v>29</v>
      </c>
      <c r="AI28" s="6">
        <v>0.36</v>
      </c>
      <c r="AK28" s="4">
        <f>AVERAGE(AI28:AI32)</f>
        <v>0.29666666666666669</v>
      </c>
      <c r="AL28" s="4">
        <f>AVERAGE(AJ28:AJ32)</f>
        <v>6.4933333333333332</v>
      </c>
      <c r="AM28" s="4">
        <f>AL28/AK28</f>
        <v>21.887640449438202</v>
      </c>
      <c r="AO28" s="6" t="s">
        <v>34</v>
      </c>
      <c r="AQ28" s="6">
        <v>0.22</v>
      </c>
      <c r="AR28" s="6">
        <v>9.99</v>
      </c>
      <c r="AS28" s="4">
        <f>AVERAGE(AQ28:AQ32)</f>
        <v>0.36999999999999994</v>
      </c>
      <c r="AT28" s="4">
        <f>AVERAGE(AR28:AR32)</f>
        <v>7.6466666666666674</v>
      </c>
      <c r="AU28" s="4">
        <f>AT28/AS28</f>
        <v>20.666666666666671</v>
      </c>
    </row>
    <row r="29" spans="1:47" s="6" customFormat="1" x14ac:dyDescent="0.2">
      <c r="A29" s="4"/>
      <c r="B29" s="4"/>
      <c r="C29" s="4"/>
      <c r="D29" s="4"/>
      <c r="E29" s="4"/>
      <c r="F29" s="4"/>
      <c r="G29" s="4"/>
      <c r="T29" s="6">
        <v>5.91</v>
      </c>
      <c r="AA29" s="6">
        <v>0.28000000000000003</v>
      </c>
      <c r="AI29" s="6">
        <v>0.17</v>
      </c>
      <c r="AJ29" s="6">
        <v>4.74</v>
      </c>
      <c r="AQ29" s="6">
        <v>0.77</v>
      </c>
      <c r="AR29" s="6">
        <v>4.8099999999999996</v>
      </c>
    </row>
    <row r="30" spans="1:47" s="6" customFormat="1" x14ac:dyDescent="0.2">
      <c r="A30" s="4"/>
      <c r="B30" s="4"/>
      <c r="C30" s="4"/>
      <c r="D30" s="4"/>
      <c r="E30" s="4"/>
      <c r="F30" s="4"/>
      <c r="G30" s="4"/>
      <c r="K30" s="6">
        <v>0.13</v>
      </c>
      <c r="L30" s="6">
        <v>7.94</v>
      </c>
      <c r="S30" s="6">
        <v>0.16</v>
      </c>
      <c r="AA30" s="6">
        <v>0.19</v>
      </c>
    </row>
    <row r="31" spans="1:47" s="6" customFormat="1" x14ac:dyDescent="0.2">
      <c r="A31" s="4"/>
      <c r="B31" s="4"/>
      <c r="C31" s="4"/>
      <c r="D31" s="4"/>
      <c r="E31" s="4"/>
      <c r="F31" s="4"/>
      <c r="G31" s="4"/>
      <c r="I31" s="4"/>
      <c r="J31" s="4"/>
      <c r="K31" s="4">
        <v>0.62</v>
      </c>
      <c r="L31" s="4">
        <v>6.41</v>
      </c>
      <c r="M31" s="4"/>
      <c r="N31" s="4"/>
      <c r="O31" s="4"/>
      <c r="Q31" s="4"/>
      <c r="R31" s="4"/>
      <c r="S31" s="4">
        <v>0.14000000000000001</v>
      </c>
      <c r="T31" s="4"/>
      <c r="U31" s="4"/>
      <c r="V31" s="4"/>
      <c r="W31" s="4"/>
      <c r="Y31" s="4"/>
      <c r="Z31" s="4"/>
      <c r="AA31" s="4"/>
      <c r="AB31" s="4">
        <v>6.15</v>
      </c>
      <c r="AC31" s="4"/>
      <c r="AD31" s="4"/>
      <c r="AE31" s="4"/>
      <c r="AJ31" s="6">
        <v>6.63</v>
      </c>
      <c r="AQ31" s="6">
        <v>0.12</v>
      </c>
    </row>
    <row r="32" spans="1:47" s="6" customFormat="1" x14ac:dyDescent="0.2">
      <c r="A32" s="4"/>
      <c r="B32" s="5"/>
      <c r="C32" s="4"/>
      <c r="D32" s="4"/>
      <c r="E32" s="4"/>
      <c r="F32" s="4"/>
      <c r="G32" s="4"/>
      <c r="J32" s="5"/>
      <c r="K32" s="6">
        <v>0.37</v>
      </c>
      <c r="M32" s="4"/>
      <c r="N32" s="4"/>
      <c r="O32" s="4"/>
      <c r="R32" s="5"/>
      <c r="T32" s="6">
        <v>7.12</v>
      </c>
      <c r="U32" s="4"/>
      <c r="V32" s="4"/>
      <c r="W32" s="4"/>
      <c r="Z32" s="5"/>
      <c r="AB32" s="6">
        <v>5.62</v>
      </c>
      <c r="AC32" s="4"/>
      <c r="AD32" s="4"/>
      <c r="AE32" s="4"/>
      <c r="AI32" s="6">
        <v>0.36</v>
      </c>
      <c r="AJ32" s="6">
        <v>8.11</v>
      </c>
      <c r="AR32" s="6">
        <v>8.14</v>
      </c>
    </row>
    <row r="33" spans="1:31" x14ac:dyDescent="0.2">
      <c r="A33" s="3"/>
      <c r="B33" s="2"/>
      <c r="J33" s="2"/>
      <c r="M33" s="1"/>
      <c r="N33" s="1"/>
      <c r="O33" s="1"/>
      <c r="R33" s="2"/>
      <c r="U33" s="1"/>
      <c r="V33" s="1"/>
      <c r="W33" s="1"/>
      <c r="Z33" s="2"/>
      <c r="AC33" s="1"/>
      <c r="AD33" s="1"/>
      <c r="AE33" s="1"/>
    </row>
    <row r="34" spans="1:31" x14ac:dyDescent="0.2">
      <c r="A34" s="3"/>
      <c r="B34" s="2"/>
      <c r="J34" s="2"/>
      <c r="M34" s="1"/>
      <c r="N34" s="1"/>
      <c r="O34" s="1"/>
      <c r="R34" s="2"/>
      <c r="U34" s="1"/>
      <c r="V34" s="1"/>
      <c r="W34" s="1"/>
      <c r="Z34" s="2"/>
      <c r="AC34" s="1"/>
      <c r="AD34" s="1"/>
      <c r="AE34" s="1"/>
    </row>
    <row r="35" spans="1:31" x14ac:dyDescent="0.2">
      <c r="B35" s="1" t="s">
        <v>6</v>
      </c>
      <c r="C35" s="1" t="s">
        <v>3</v>
      </c>
      <c r="D35" s="1" t="s">
        <v>4</v>
      </c>
      <c r="E35" s="1" t="s">
        <v>5</v>
      </c>
      <c r="J35" s="2"/>
      <c r="M35" s="1"/>
      <c r="N35" s="1"/>
      <c r="O35" s="1"/>
      <c r="R35" s="2"/>
      <c r="U35" s="1"/>
      <c r="V35" s="1"/>
      <c r="W35" s="1"/>
      <c r="Z35" s="2"/>
      <c r="AC35" s="1"/>
      <c r="AD35" s="1"/>
      <c r="AE35" s="1"/>
    </row>
    <row r="36" spans="1:31" x14ac:dyDescent="0.2">
      <c r="A36" s="1">
        <v>1</v>
      </c>
      <c r="B36" s="1" t="s">
        <v>12</v>
      </c>
      <c r="C36" s="1">
        <v>0.21</v>
      </c>
      <c r="D36" s="1">
        <v>5.6833333333333336</v>
      </c>
      <c r="E36" s="1">
        <v>27.063492063492067</v>
      </c>
      <c r="J36" s="2"/>
      <c r="M36" s="1"/>
      <c r="N36" s="1"/>
      <c r="O36" s="1"/>
      <c r="R36" s="2"/>
      <c r="U36" s="1"/>
      <c r="V36" s="1"/>
      <c r="W36" s="1"/>
      <c r="Z36" s="2"/>
      <c r="AC36" s="1"/>
      <c r="AD36" s="1"/>
      <c r="AE36" s="1"/>
    </row>
    <row r="37" spans="1:31" x14ac:dyDescent="0.2">
      <c r="A37" s="1">
        <v>2</v>
      </c>
      <c r="B37" s="4" t="s">
        <v>13</v>
      </c>
      <c r="C37" s="4">
        <v>0.14333333333333334</v>
      </c>
      <c r="D37" s="4">
        <v>4.6433333333333335</v>
      </c>
      <c r="E37" s="4">
        <v>32.395348837209305</v>
      </c>
      <c r="J37" s="2"/>
      <c r="M37" s="1"/>
      <c r="N37" s="1"/>
      <c r="O37" s="1"/>
      <c r="R37" s="2"/>
      <c r="U37" s="1"/>
      <c r="V37" s="1"/>
      <c r="W37" s="1"/>
      <c r="Z37" s="2"/>
      <c r="AC37" s="1"/>
      <c r="AD37" s="1"/>
      <c r="AE37" s="1"/>
    </row>
    <row r="38" spans="1:31" x14ac:dyDescent="0.2">
      <c r="A38" s="1">
        <v>3</v>
      </c>
      <c r="B38" s="1" t="s">
        <v>14</v>
      </c>
      <c r="C38" s="1">
        <v>1.05</v>
      </c>
      <c r="D38" s="1">
        <v>5.3366666666666669</v>
      </c>
      <c r="E38" s="1">
        <v>5.0825396825396822</v>
      </c>
      <c r="J38" s="2"/>
      <c r="M38" s="1"/>
      <c r="N38" s="1"/>
      <c r="O38" s="1"/>
      <c r="R38" s="2"/>
      <c r="U38" s="1"/>
      <c r="V38" s="1"/>
      <c r="W38" s="1"/>
      <c r="Z38" s="2"/>
      <c r="AC38" s="1"/>
      <c r="AD38" s="1"/>
      <c r="AE38" s="1"/>
    </row>
    <row r="39" spans="1:31" x14ac:dyDescent="0.2">
      <c r="A39" s="1">
        <v>4</v>
      </c>
      <c r="B39" s="1" t="s">
        <v>15</v>
      </c>
      <c r="C39" s="1">
        <v>1.33</v>
      </c>
      <c r="D39" s="1">
        <v>7.23</v>
      </c>
      <c r="E39" s="1">
        <v>5.4360902255639099</v>
      </c>
      <c r="J39" s="2"/>
      <c r="M39" s="1"/>
      <c r="N39" s="1"/>
      <c r="O39" s="1"/>
      <c r="R39" s="2"/>
      <c r="U39" s="1"/>
      <c r="V39" s="1"/>
      <c r="W39" s="1"/>
      <c r="Z39" s="2"/>
      <c r="AC39" s="1"/>
      <c r="AD39" s="1"/>
      <c r="AE39" s="1"/>
    </row>
    <row r="40" spans="1:31" x14ac:dyDescent="0.2">
      <c r="A40" s="1">
        <v>5</v>
      </c>
      <c r="B40" s="4" t="s">
        <v>16</v>
      </c>
      <c r="C40" s="4">
        <v>0.37333333333333335</v>
      </c>
      <c r="D40" s="4">
        <v>7.3500000000000005</v>
      </c>
      <c r="E40" s="4">
        <v>19.6875</v>
      </c>
      <c r="J40" s="2"/>
      <c r="M40" s="1"/>
      <c r="N40" s="1"/>
      <c r="O40" s="1"/>
      <c r="R40" s="2"/>
      <c r="U40" s="1"/>
      <c r="V40" s="1"/>
      <c r="W40" s="1"/>
      <c r="Z40" s="2"/>
      <c r="AC40" s="1"/>
      <c r="AD40" s="1"/>
      <c r="AE40" s="1"/>
    </row>
    <row r="41" spans="1:31" x14ac:dyDescent="0.2">
      <c r="A41" s="1">
        <v>6</v>
      </c>
      <c r="B41" s="4" t="s">
        <v>7</v>
      </c>
      <c r="C41" s="4">
        <v>0.43333333333333335</v>
      </c>
      <c r="D41" s="4">
        <v>7.2966666666666669</v>
      </c>
      <c r="E41" s="4">
        <v>16.838461538461537</v>
      </c>
      <c r="J41" s="2"/>
      <c r="M41" s="1"/>
      <c r="N41" s="1"/>
      <c r="O41" s="1"/>
      <c r="R41" s="2"/>
      <c r="U41" s="1"/>
      <c r="V41" s="1"/>
      <c r="W41" s="1"/>
      <c r="Z41" s="2"/>
      <c r="AC41" s="1"/>
      <c r="AD41" s="1"/>
      <c r="AE41" s="1"/>
    </row>
    <row r="42" spans="1:31" x14ac:dyDescent="0.2">
      <c r="A42" s="1">
        <v>7</v>
      </c>
      <c r="J42" s="2"/>
      <c r="M42" s="1"/>
      <c r="N42" s="1"/>
      <c r="O42" s="1"/>
      <c r="R42" s="2"/>
      <c r="U42" s="1"/>
      <c r="V42" s="1"/>
      <c r="W42" s="1"/>
      <c r="Z42" s="2"/>
      <c r="AC42" s="1"/>
      <c r="AD42" s="1"/>
      <c r="AE42" s="1"/>
    </row>
    <row r="43" spans="1:31" x14ac:dyDescent="0.2">
      <c r="A43" s="1">
        <v>8</v>
      </c>
      <c r="B43" s="1" t="s">
        <v>9</v>
      </c>
      <c r="C43" s="1">
        <v>0.61666666666666659</v>
      </c>
      <c r="D43" s="1">
        <v>6.2466666666666661</v>
      </c>
      <c r="E43" s="1">
        <v>10.12972972972973</v>
      </c>
      <c r="J43" s="2"/>
      <c r="M43" s="1"/>
      <c r="N43" s="1"/>
      <c r="O43" s="1"/>
      <c r="R43" s="2"/>
      <c r="U43" s="1"/>
      <c r="V43" s="1"/>
      <c r="W43" s="1"/>
      <c r="Z43" s="2"/>
      <c r="AC43" s="1"/>
      <c r="AD43" s="1"/>
      <c r="AE43" s="1"/>
    </row>
    <row r="44" spans="1:31" x14ac:dyDescent="0.2">
      <c r="A44" s="1">
        <v>9</v>
      </c>
      <c r="B44" s="3" t="s">
        <v>10</v>
      </c>
      <c r="C44" s="1">
        <v>0.27333333333333337</v>
      </c>
      <c r="D44" s="1">
        <v>6.32</v>
      </c>
      <c r="E44" s="1">
        <v>23.121951219512194</v>
      </c>
      <c r="J44" s="2"/>
      <c r="M44" s="1"/>
      <c r="N44" s="1"/>
      <c r="O44" s="1"/>
      <c r="R44" s="2"/>
      <c r="U44" s="1"/>
      <c r="V44" s="1"/>
      <c r="W44" s="1"/>
      <c r="Z44" s="2"/>
      <c r="AC44" s="1"/>
      <c r="AD44" s="1"/>
      <c r="AE44" s="1"/>
    </row>
    <row r="45" spans="1:31" x14ac:dyDescent="0.2">
      <c r="A45" s="1">
        <v>10</v>
      </c>
      <c r="B45" s="6" t="s">
        <v>11</v>
      </c>
      <c r="C45" s="4">
        <v>0.1466666666666667</v>
      </c>
      <c r="D45" s="4">
        <v>6.82</v>
      </c>
      <c r="E45" s="4">
        <v>46.499999999999993</v>
      </c>
      <c r="J45" s="2"/>
      <c r="M45" s="1"/>
      <c r="N45" s="1"/>
      <c r="O45" s="1"/>
      <c r="R45" s="2"/>
      <c r="U45" s="1"/>
      <c r="V45" s="1"/>
      <c r="W45" s="1"/>
      <c r="Z45" s="2"/>
      <c r="AC45" s="1"/>
      <c r="AD45" s="1"/>
      <c r="AE45" s="1"/>
    </row>
    <row r="46" spans="1:31" x14ac:dyDescent="0.2">
      <c r="A46" s="1">
        <v>11</v>
      </c>
      <c r="B46" s="1" t="s">
        <v>21</v>
      </c>
      <c r="C46" s="1">
        <v>0.85333333333333317</v>
      </c>
      <c r="D46" s="1">
        <v>8.2933333333333348</v>
      </c>
      <c r="E46" s="1">
        <v>9.7187500000000036</v>
      </c>
      <c r="J46" s="2"/>
      <c r="M46" s="1"/>
      <c r="N46" s="1"/>
      <c r="O46" s="1"/>
      <c r="R46" s="2"/>
      <c r="U46" s="1"/>
      <c r="V46" s="1"/>
      <c r="W46" s="1"/>
      <c r="Z46" s="2"/>
      <c r="AC46" s="1"/>
      <c r="AD46" s="1"/>
      <c r="AE46" s="1"/>
    </row>
    <row r="47" spans="1:31" x14ac:dyDescent="0.2">
      <c r="A47" s="1">
        <v>12</v>
      </c>
      <c r="B47" s="4" t="s">
        <v>22</v>
      </c>
      <c r="C47" s="4">
        <v>0.28999999999999998</v>
      </c>
      <c r="D47" s="4">
        <v>5.2</v>
      </c>
      <c r="E47" s="4">
        <v>17.931034482758623</v>
      </c>
      <c r="J47" s="2"/>
      <c r="M47" s="1"/>
      <c r="N47" s="1"/>
      <c r="O47" s="1"/>
      <c r="R47" s="2"/>
      <c r="U47" s="1"/>
      <c r="V47" s="1"/>
      <c r="W47" s="1"/>
      <c r="Z47" s="2"/>
      <c r="AC47" s="1"/>
      <c r="AD47" s="1"/>
      <c r="AE47" s="1"/>
    </row>
    <row r="48" spans="1:31" x14ac:dyDescent="0.2">
      <c r="A48" s="1">
        <v>13</v>
      </c>
      <c r="B48" s="1" t="s">
        <v>23</v>
      </c>
      <c r="C48" s="1">
        <v>0.24</v>
      </c>
      <c r="D48" s="1">
        <v>7.13</v>
      </c>
      <c r="E48" s="1">
        <v>29.708333333333336</v>
      </c>
      <c r="J48" s="2"/>
      <c r="M48" s="1"/>
      <c r="N48" s="1"/>
      <c r="O48" s="1"/>
      <c r="R48" s="2"/>
      <c r="Z48" s="2"/>
    </row>
    <row r="49" spans="1:26" x14ac:dyDescent="0.2">
      <c r="A49" s="1">
        <v>14</v>
      </c>
      <c r="B49" s="4" t="s">
        <v>24</v>
      </c>
      <c r="C49" s="4">
        <v>0.31666666666666665</v>
      </c>
      <c r="D49" s="4">
        <v>7.0633333333333335</v>
      </c>
      <c r="E49" s="4">
        <v>22.305263157894739</v>
      </c>
      <c r="J49" s="2"/>
      <c r="M49" s="1"/>
      <c r="N49" s="1"/>
      <c r="O49" s="1"/>
      <c r="R49" s="2"/>
      <c r="Z49" s="2"/>
    </row>
    <row r="50" spans="1:26" x14ac:dyDescent="0.2">
      <c r="A50" s="1">
        <v>15</v>
      </c>
      <c r="B50" s="3" t="s">
        <v>17</v>
      </c>
      <c r="C50" s="1">
        <v>0.54666666666666663</v>
      </c>
      <c r="D50" s="1">
        <v>6.583333333333333</v>
      </c>
      <c r="E50" s="1">
        <v>12.042682926829269</v>
      </c>
      <c r="J50" s="2"/>
      <c r="M50" s="1"/>
      <c r="N50" s="1"/>
      <c r="O50" s="1"/>
      <c r="R50" s="2"/>
      <c r="Z50" s="2"/>
    </row>
    <row r="51" spans="1:26" x14ac:dyDescent="0.2">
      <c r="A51" s="1">
        <v>16</v>
      </c>
      <c r="B51" s="6" t="s">
        <v>18</v>
      </c>
      <c r="C51" s="4">
        <v>0.33666666666666667</v>
      </c>
      <c r="D51" s="4">
        <v>10.156666666666668</v>
      </c>
      <c r="E51" s="4">
        <v>30.168316831683171</v>
      </c>
      <c r="J51" s="2"/>
      <c r="M51" s="1"/>
      <c r="N51" s="1"/>
      <c r="O51" s="1"/>
      <c r="R51" s="2"/>
      <c r="Z51" s="2"/>
    </row>
    <row r="52" spans="1:26" x14ac:dyDescent="0.2">
      <c r="A52" s="1">
        <v>17</v>
      </c>
      <c r="B52" s="3" t="s">
        <v>19</v>
      </c>
      <c r="C52" s="1">
        <v>1.0266666666666666</v>
      </c>
      <c r="D52" s="1">
        <v>6.6500000000000012</v>
      </c>
      <c r="E52" s="1">
        <v>6.4772727272727284</v>
      </c>
      <c r="J52" s="2"/>
      <c r="M52" s="1"/>
      <c r="N52" s="1"/>
      <c r="O52" s="1"/>
    </row>
    <row r="53" spans="1:26" x14ac:dyDescent="0.2">
      <c r="A53" s="1">
        <v>18</v>
      </c>
      <c r="B53" s="6" t="s">
        <v>20</v>
      </c>
      <c r="C53" s="4">
        <v>0.8833333333333333</v>
      </c>
      <c r="D53" s="4">
        <v>7.6599999999999993</v>
      </c>
      <c r="E53" s="4">
        <v>8.6716981132075475</v>
      </c>
      <c r="J53" s="2"/>
    </row>
    <row r="54" spans="1:26" x14ac:dyDescent="0.2">
      <c r="A54" s="1">
        <v>19</v>
      </c>
      <c r="B54" s="3" t="s">
        <v>25</v>
      </c>
      <c r="C54" s="1">
        <v>0.58666666666666667</v>
      </c>
      <c r="D54" s="1">
        <v>2.9966666666666666</v>
      </c>
      <c r="E54" s="1">
        <v>5.107954545454545</v>
      </c>
      <c r="J54" s="2"/>
    </row>
    <row r="55" spans="1:26" x14ac:dyDescent="0.2">
      <c r="A55" s="1">
        <v>20</v>
      </c>
      <c r="B55" s="6" t="s">
        <v>26</v>
      </c>
      <c r="C55" s="4">
        <v>0.88</v>
      </c>
      <c r="D55" s="4">
        <v>4.9633333333333338</v>
      </c>
      <c r="E55" s="4">
        <v>5.6401515151515156</v>
      </c>
      <c r="J55" s="2"/>
    </row>
    <row r="56" spans="1:26" x14ac:dyDescent="0.2">
      <c r="A56" s="1">
        <v>21</v>
      </c>
      <c r="B56" s="3" t="s">
        <v>27</v>
      </c>
      <c r="C56" s="1">
        <v>0.78666666666666663</v>
      </c>
      <c r="D56" s="1">
        <v>5.2633333333333328</v>
      </c>
      <c r="E56" s="1">
        <v>6.6906779661016946</v>
      </c>
      <c r="J56" s="2"/>
    </row>
    <row r="57" spans="1:26" x14ac:dyDescent="0.2">
      <c r="A57" s="1">
        <v>22</v>
      </c>
      <c r="B57" s="3" t="s">
        <v>28</v>
      </c>
      <c r="C57" s="1">
        <v>0.27999999999999997</v>
      </c>
      <c r="D57" s="1">
        <v>5.1866666666666665</v>
      </c>
      <c r="E57" s="1">
        <v>18.523809523809526</v>
      </c>
    </row>
    <row r="58" spans="1:26" x14ac:dyDescent="0.2">
      <c r="A58" s="1">
        <v>23</v>
      </c>
      <c r="B58" s="6" t="s">
        <v>29</v>
      </c>
      <c r="C58" s="4">
        <v>0.29666666666666669</v>
      </c>
      <c r="D58" s="4">
        <v>6.4933333333333332</v>
      </c>
      <c r="E58" s="4">
        <v>21.887640449438202</v>
      </c>
      <c r="M58" s="1"/>
    </row>
    <row r="59" spans="1:26" x14ac:dyDescent="0.2">
      <c r="A59" s="1">
        <v>24</v>
      </c>
      <c r="B59" s="6" t="s">
        <v>30</v>
      </c>
      <c r="C59" s="4">
        <v>0.93333333333333324</v>
      </c>
      <c r="D59" s="4">
        <v>6.6533333333333333</v>
      </c>
      <c r="E59" s="4">
        <v>7.128571428571429</v>
      </c>
      <c r="M59" s="1"/>
    </row>
    <row r="60" spans="1:26" x14ac:dyDescent="0.2">
      <c r="A60" s="1">
        <v>25</v>
      </c>
      <c r="B60" s="3" t="s">
        <v>31</v>
      </c>
      <c r="C60" s="1">
        <v>0.4366666666666667</v>
      </c>
      <c r="D60" s="1">
        <v>5.5200000000000005</v>
      </c>
      <c r="E60" s="1">
        <v>12.641221374045802</v>
      </c>
      <c r="M60" s="1"/>
    </row>
    <row r="61" spans="1:26" x14ac:dyDescent="0.2">
      <c r="A61" s="1">
        <v>26</v>
      </c>
      <c r="B61" s="6" t="s">
        <v>32</v>
      </c>
      <c r="C61" s="4">
        <v>0.60333333333333339</v>
      </c>
      <c r="D61" s="4">
        <v>6.18</v>
      </c>
      <c r="E61" s="4">
        <v>10.243093922651932</v>
      </c>
      <c r="M61" s="1"/>
    </row>
    <row r="62" spans="1:26" x14ac:dyDescent="0.2">
      <c r="A62" s="1">
        <v>27</v>
      </c>
      <c r="B62" s="3" t="s">
        <v>33</v>
      </c>
      <c r="C62" s="1">
        <v>0.3833333333333333</v>
      </c>
      <c r="D62" s="1">
        <v>7.5633333333333326</v>
      </c>
      <c r="E62" s="1">
        <v>19.730434782608697</v>
      </c>
      <c r="M62" s="1"/>
    </row>
    <row r="63" spans="1:26" x14ac:dyDescent="0.2">
      <c r="A63" s="1">
        <v>28</v>
      </c>
      <c r="B63" s="6" t="s">
        <v>34</v>
      </c>
      <c r="C63" s="4">
        <v>0.36999999999999994</v>
      </c>
      <c r="D63" s="4">
        <v>7.6466666666666674</v>
      </c>
      <c r="E63" s="4">
        <v>20.666666666666671</v>
      </c>
      <c r="M63" s="1"/>
    </row>
    <row r="64" spans="1:26" x14ac:dyDescent="0.2">
      <c r="A64" s="1">
        <v>29</v>
      </c>
      <c r="B64" s="3" t="s">
        <v>35</v>
      </c>
      <c r="C64" s="1">
        <v>0.82</v>
      </c>
      <c r="D64" s="1">
        <v>4.7733333333333334</v>
      </c>
      <c r="E64" s="1">
        <v>5.821138211382114</v>
      </c>
      <c r="M64" s="1"/>
    </row>
    <row r="65" spans="1:13" x14ac:dyDescent="0.2">
      <c r="A65" s="1">
        <v>30</v>
      </c>
      <c r="B65" s="6" t="s">
        <v>36</v>
      </c>
      <c r="C65" s="4">
        <v>0.43</v>
      </c>
      <c r="D65" s="4">
        <v>6.8599999999999994</v>
      </c>
      <c r="E65" s="4">
        <v>15.953488372093021</v>
      </c>
      <c r="M65" s="1"/>
    </row>
    <row r="66" spans="1:13" x14ac:dyDescent="0.2">
      <c r="A66" s="1">
        <v>31</v>
      </c>
      <c r="B66" s="3" t="s">
        <v>37</v>
      </c>
      <c r="C66" s="1">
        <v>0.26333333333333336</v>
      </c>
      <c r="D66" s="1">
        <v>3.14</v>
      </c>
      <c r="E66" s="1">
        <v>11.924050632911392</v>
      </c>
      <c r="M66" s="1"/>
    </row>
    <row r="67" spans="1:13" x14ac:dyDescent="0.2">
      <c r="A67" s="1">
        <v>32</v>
      </c>
      <c r="B67" s="6" t="s">
        <v>38</v>
      </c>
      <c r="C67" s="4">
        <v>0.36000000000000004</v>
      </c>
      <c r="D67" s="4">
        <v>6.2233333333333336</v>
      </c>
      <c r="E67" s="4">
        <v>17.287037037037035</v>
      </c>
      <c r="M67" s="1"/>
    </row>
    <row r="68" spans="1:13" x14ac:dyDescent="0.2">
      <c r="A68" s="1">
        <v>33</v>
      </c>
      <c r="B68" s="3" t="s">
        <v>39</v>
      </c>
      <c r="C68" s="1">
        <v>0.22</v>
      </c>
      <c r="D68" s="1">
        <v>6.3666666666666671</v>
      </c>
      <c r="E68" s="1">
        <v>28.939393939393941</v>
      </c>
      <c r="M68" s="1"/>
    </row>
    <row r="69" spans="1:13" x14ac:dyDescent="0.2">
      <c r="A69" s="1">
        <v>34</v>
      </c>
      <c r="B69" s="6" t="s">
        <v>40</v>
      </c>
      <c r="C69" s="4">
        <v>0.34</v>
      </c>
      <c r="D69" s="4">
        <v>3.8166666666666664</v>
      </c>
      <c r="E69" s="4">
        <v>11.225490196078431</v>
      </c>
      <c r="M69" s="1"/>
    </row>
    <row r="70" spans="1:13" x14ac:dyDescent="0.2">
      <c r="A70" s="1">
        <v>35</v>
      </c>
      <c r="B70" s="3" t="s">
        <v>41</v>
      </c>
      <c r="C70" s="1">
        <v>0.12000000000000001</v>
      </c>
      <c r="D70" s="1">
        <v>6.3566666666666665</v>
      </c>
      <c r="E70" s="1">
        <v>52.972222222222214</v>
      </c>
      <c r="M70" s="1"/>
    </row>
    <row r="71" spans="1:13" x14ac:dyDescent="0.2">
      <c r="A71" s="1">
        <v>36</v>
      </c>
      <c r="B71" s="6" t="s">
        <v>42</v>
      </c>
      <c r="C71" s="4">
        <v>0.42333333333333334</v>
      </c>
      <c r="D71" s="4">
        <v>6.126666666666666</v>
      </c>
      <c r="E71" s="4">
        <v>14.472440944881889</v>
      </c>
      <c r="M71" s="1"/>
    </row>
    <row r="72" spans="1:13" x14ac:dyDescent="0.2">
      <c r="M72" s="1"/>
    </row>
    <row r="73" spans="1:13" x14ac:dyDescent="0.2">
      <c r="M73" s="1"/>
    </row>
    <row r="74" spans="1:13" x14ac:dyDescent="0.2">
      <c r="B74" s="2"/>
      <c r="M74" s="1"/>
    </row>
    <row r="75" spans="1:13" x14ac:dyDescent="0.2">
      <c r="B75" s="2"/>
      <c r="M75" s="1"/>
    </row>
    <row r="76" spans="1:13" x14ac:dyDescent="0.2">
      <c r="B76" s="2"/>
      <c r="M76" s="1"/>
    </row>
    <row r="77" spans="1:13" x14ac:dyDescent="0.2">
      <c r="B77" s="2"/>
      <c r="M77" s="1"/>
    </row>
    <row r="78" spans="1:13" x14ac:dyDescent="0.2">
      <c r="B78" s="2"/>
      <c r="M78" s="1"/>
    </row>
    <row r="79" spans="1:13" x14ac:dyDescent="0.2">
      <c r="B79" s="2"/>
      <c r="M79" s="1"/>
    </row>
    <row r="80" spans="1:13" x14ac:dyDescent="0.2">
      <c r="B80" s="2"/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  <row r="92" spans="13:13" x14ac:dyDescent="0.2">
      <c r="M92" s="1"/>
    </row>
  </sheetData>
  <mergeCells count="6">
    <mergeCell ref="AO1:AU1"/>
    <mergeCell ref="A1:G1"/>
    <mergeCell ref="I1:O1"/>
    <mergeCell ref="Q1:W1"/>
    <mergeCell ref="Y1:AE1"/>
    <mergeCell ref="AG1:A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66D6-D8E4-F94D-898B-979E191A2873}">
  <dimension ref="A1:AU92"/>
  <sheetViews>
    <sheetView topLeftCell="A34" workbookViewId="0">
      <selection activeCell="E37" sqref="E37:E72"/>
    </sheetView>
  </sheetViews>
  <sheetFormatPr defaultColWidth="10.875" defaultRowHeight="15" x14ac:dyDescent="0.2"/>
  <cols>
    <col min="1" max="1" width="16.5" style="1" bestFit="1" customWidth="1"/>
    <col min="2" max="2" width="12.625" style="1" customWidth="1"/>
    <col min="3" max="7" width="10.875" style="1"/>
    <col min="8" max="16384" width="10.875" style="3"/>
  </cols>
  <sheetData>
    <row r="1" spans="1:47" x14ac:dyDescent="0.2">
      <c r="A1" s="54" t="s">
        <v>162</v>
      </c>
      <c r="B1" s="54"/>
      <c r="C1" s="54"/>
      <c r="D1" s="54"/>
      <c r="E1" s="54"/>
      <c r="F1" s="54"/>
      <c r="G1" s="54"/>
      <c r="I1" s="54" t="s">
        <v>163</v>
      </c>
      <c r="J1" s="54"/>
      <c r="K1" s="54"/>
      <c r="L1" s="54"/>
      <c r="M1" s="54"/>
      <c r="N1" s="54"/>
      <c r="O1" s="54"/>
      <c r="Q1" s="54" t="s">
        <v>164</v>
      </c>
      <c r="R1" s="54"/>
      <c r="S1" s="54"/>
      <c r="T1" s="54"/>
      <c r="U1" s="54"/>
      <c r="V1" s="54"/>
      <c r="W1" s="54"/>
      <c r="Y1" s="54" t="s">
        <v>165</v>
      </c>
      <c r="Z1" s="54"/>
      <c r="AA1" s="54"/>
      <c r="AB1" s="54"/>
      <c r="AC1" s="54"/>
      <c r="AD1" s="54"/>
      <c r="AE1" s="54"/>
      <c r="AG1" s="54" t="s">
        <v>166</v>
      </c>
      <c r="AH1" s="54"/>
      <c r="AI1" s="54"/>
      <c r="AJ1" s="54"/>
      <c r="AK1" s="54"/>
      <c r="AL1" s="54"/>
      <c r="AM1" s="54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">
      <c r="A3" s="1" t="s">
        <v>12</v>
      </c>
      <c r="B3" s="2">
        <v>45341</v>
      </c>
      <c r="D3" s="1">
        <v>5.45</v>
      </c>
      <c r="E3" s="1">
        <f>AVERAGE(C3:C7)</f>
        <v>3.76</v>
      </c>
      <c r="F3" s="1">
        <f>AVERAGE(D3:D7)</f>
        <v>6.4200000000000008</v>
      </c>
      <c r="G3" s="1">
        <f>F3/E3</f>
        <v>1.7074468085106387</v>
      </c>
      <c r="I3" s="1" t="s">
        <v>21</v>
      </c>
      <c r="J3" s="2">
        <v>45334</v>
      </c>
      <c r="K3" s="1">
        <v>4.2699999999999996</v>
      </c>
      <c r="L3" s="1">
        <v>6.56</v>
      </c>
      <c r="M3" s="1">
        <f>AVERAGE(K3:K7)</f>
        <v>3.7399999999999998</v>
      </c>
      <c r="N3" s="1">
        <f>AVERAGE(L3:L7)</f>
        <v>6.6933333333333325</v>
      </c>
      <c r="O3" s="1">
        <f>N3/M3</f>
        <v>1.7896613190730837</v>
      </c>
      <c r="Q3" s="3" t="s">
        <v>17</v>
      </c>
      <c r="R3" s="2">
        <v>45343</v>
      </c>
      <c r="U3" s="1">
        <f>AVERAGE(S3:S7)</f>
        <v>5.8033333333333337</v>
      </c>
      <c r="V3" s="1">
        <f>AVERAGE(T3:T7)</f>
        <v>5.6266666666666678</v>
      </c>
      <c r="W3" s="1">
        <f>V3/U3</f>
        <v>0.96955772544514662</v>
      </c>
      <c r="Y3" s="3" t="s">
        <v>25</v>
      </c>
      <c r="Z3" s="2">
        <v>45336</v>
      </c>
      <c r="AA3" s="3">
        <v>0.46</v>
      </c>
      <c r="AB3" s="3">
        <v>6.3</v>
      </c>
      <c r="AC3" s="1">
        <f>AVERAGE(AA3:AA7)</f>
        <v>0.68333333333333324</v>
      </c>
      <c r="AD3" s="1">
        <f>AVERAGE(AB3:AB7)</f>
        <v>5.4333333333333336</v>
      </c>
      <c r="AE3" s="1">
        <f>AD3/AC3</f>
        <v>7.9512195121951237</v>
      </c>
      <c r="AG3" s="3" t="s">
        <v>35</v>
      </c>
      <c r="AH3" s="53">
        <v>45344</v>
      </c>
      <c r="AK3" s="1">
        <f>AVERAGE(AI3:AI7)</f>
        <v>4.0666666666666664</v>
      </c>
      <c r="AL3" s="1">
        <f>AVERAGE(AJ3:AJ7)</f>
        <v>5.706666666666667</v>
      </c>
      <c r="AM3" s="1">
        <f>AL3/AK3</f>
        <v>1.4032786885245903</v>
      </c>
      <c r="AO3" s="3" t="s">
        <v>39</v>
      </c>
      <c r="AP3" s="53">
        <v>45338</v>
      </c>
      <c r="AQ3" s="3">
        <v>2.61</v>
      </c>
      <c r="AR3" s="3">
        <v>6</v>
      </c>
      <c r="AS3" s="1">
        <f>AVERAGE(AQ3:AQ7)</f>
        <v>3.0533333333333332</v>
      </c>
      <c r="AT3" s="1">
        <f>AVERAGE(AR3:AR7)</f>
        <v>5.95</v>
      </c>
      <c r="AU3" s="1">
        <f>AT3/AS3</f>
        <v>1.9486899563318778</v>
      </c>
    </row>
    <row r="4" spans="1:47" x14ac:dyDescent="0.2">
      <c r="B4" s="2"/>
      <c r="C4" s="1">
        <v>5.19</v>
      </c>
      <c r="J4" s="2"/>
      <c r="K4" s="1">
        <v>3.07</v>
      </c>
      <c r="L4" s="1">
        <v>7.42</v>
      </c>
      <c r="M4" s="1"/>
      <c r="N4" s="1"/>
      <c r="O4" s="1"/>
      <c r="R4" s="2"/>
      <c r="S4" s="3">
        <v>4.0199999999999996</v>
      </c>
      <c r="U4" s="1"/>
      <c r="V4" s="1"/>
      <c r="W4" s="1"/>
      <c r="Z4" s="2"/>
      <c r="AA4" s="3">
        <v>0.16</v>
      </c>
      <c r="AB4" s="3">
        <v>4.4400000000000004</v>
      </c>
      <c r="AC4" s="1"/>
      <c r="AD4" s="1"/>
      <c r="AE4" s="1"/>
      <c r="AJ4" s="3">
        <v>7.17</v>
      </c>
      <c r="AK4" s="1"/>
      <c r="AL4" s="1"/>
      <c r="AM4" s="1"/>
      <c r="AS4" s="1"/>
      <c r="AT4" s="1"/>
      <c r="AU4" s="1"/>
    </row>
    <row r="5" spans="1:47" x14ac:dyDescent="0.2">
      <c r="B5" s="2"/>
      <c r="D5" s="1">
        <v>5.95</v>
      </c>
      <c r="J5" s="2"/>
      <c r="K5" s="1">
        <v>3.88</v>
      </c>
      <c r="L5" s="1">
        <v>6.1</v>
      </c>
      <c r="M5" s="1"/>
      <c r="N5" s="1"/>
      <c r="O5" s="1"/>
      <c r="R5" s="2"/>
      <c r="S5" s="3">
        <v>6.43</v>
      </c>
      <c r="T5" s="3">
        <v>7.45</v>
      </c>
      <c r="U5" s="1"/>
      <c r="V5" s="1"/>
      <c r="W5" s="1"/>
      <c r="Z5" s="2"/>
      <c r="AA5" s="3">
        <v>1.43</v>
      </c>
      <c r="AC5" s="1"/>
      <c r="AD5" s="1"/>
      <c r="AE5" s="1"/>
      <c r="AI5" s="3">
        <v>4.13</v>
      </c>
      <c r="AJ5" s="3">
        <v>4.17</v>
      </c>
      <c r="AK5" s="1"/>
      <c r="AL5" s="1"/>
      <c r="AM5" s="1"/>
      <c r="AS5" s="1"/>
      <c r="AT5" s="1"/>
      <c r="AU5" s="1"/>
    </row>
    <row r="6" spans="1:47" x14ac:dyDescent="0.2">
      <c r="B6" s="2"/>
      <c r="C6" s="1">
        <v>4.0999999999999996</v>
      </c>
      <c r="J6" s="2"/>
      <c r="K6" s="1"/>
      <c r="L6" s="1"/>
      <c r="M6" s="1"/>
      <c r="N6" s="1"/>
      <c r="O6" s="1"/>
      <c r="R6" s="2"/>
      <c r="T6" s="3">
        <v>3.92</v>
      </c>
      <c r="U6" s="1"/>
      <c r="V6" s="1"/>
      <c r="W6" s="1"/>
      <c r="Z6" s="2"/>
      <c r="AB6" s="3">
        <v>5.56</v>
      </c>
      <c r="AC6" s="1"/>
      <c r="AD6" s="1"/>
      <c r="AE6" s="1"/>
      <c r="AI6" s="3">
        <v>3.98</v>
      </c>
      <c r="AK6" s="1"/>
      <c r="AL6" s="1"/>
      <c r="AM6" s="1"/>
      <c r="AQ6" s="3">
        <v>2.75</v>
      </c>
      <c r="AR6" s="3">
        <v>5</v>
      </c>
      <c r="AS6" s="1"/>
      <c r="AT6" s="1"/>
      <c r="AU6" s="1"/>
    </row>
    <row r="7" spans="1:47" x14ac:dyDescent="0.2">
      <c r="B7" s="2"/>
      <c r="C7" s="1">
        <v>1.99</v>
      </c>
      <c r="D7" s="1">
        <v>7.86</v>
      </c>
      <c r="I7" s="1"/>
      <c r="J7" s="2"/>
      <c r="K7" s="1"/>
      <c r="L7" s="1"/>
      <c r="M7" s="1"/>
      <c r="N7" s="1"/>
      <c r="O7" s="1"/>
      <c r="R7" s="2"/>
      <c r="S7" s="3">
        <v>6.96</v>
      </c>
      <c r="T7" s="3">
        <v>5.51</v>
      </c>
      <c r="U7" s="1"/>
      <c r="V7" s="1"/>
      <c r="W7" s="1"/>
      <c r="Z7" s="2"/>
      <c r="AC7" s="1"/>
      <c r="AD7" s="1"/>
      <c r="AE7" s="1"/>
      <c r="AI7" s="3">
        <v>4.09</v>
      </c>
      <c r="AJ7" s="3">
        <v>5.78</v>
      </c>
      <c r="AK7" s="1"/>
      <c r="AL7" s="1"/>
      <c r="AM7" s="1"/>
      <c r="AQ7" s="3">
        <v>3.8</v>
      </c>
      <c r="AR7" s="3">
        <v>6.85</v>
      </c>
      <c r="AS7" s="1"/>
      <c r="AT7" s="1"/>
      <c r="AU7" s="1"/>
    </row>
    <row r="8" spans="1:47" s="6" customFormat="1" x14ac:dyDescent="0.2">
      <c r="A8" s="4" t="s">
        <v>13</v>
      </c>
      <c r="B8" s="5"/>
      <c r="C8" s="4"/>
      <c r="D8" s="4"/>
      <c r="E8" s="4">
        <f>AVERAGE(C8:C12)</f>
        <v>4.246666666666667</v>
      </c>
      <c r="F8" s="4">
        <f>AVERAGE(D8:D12)</f>
        <v>6.2033333333333331</v>
      </c>
      <c r="G8" s="4">
        <f>F8/E8</f>
        <v>1.4607535321821035</v>
      </c>
      <c r="I8" s="4" t="s">
        <v>22</v>
      </c>
      <c r="J8" s="5"/>
      <c r="K8" s="4">
        <v>3.63</v>
      </c>
      <c r="L8" s="4">
        <v>5.1100000000000003</v>
      </c>
      <c r="M8" s="4">
        <f>AVERAGE(K8:K12)</f>
        <v>3.8566666666666669</v>
      </c>
      <c r="N8" s="4">
        <f>AVERAGE(L8:L12)</f>
        <v>5.15</v>
      </c>
      <c r="O8" s="4">
        <f>N8/M8</f>
        <v>1.3353500432152117</v>
      </c>
      <c r="Q8" s="6" t="s">
        <v>18</v>
      </c>
      <c r="R8" s="5"/>
      <c r="T8" s="6">
        <v>7.62</v>
      </c>
      <c r="U8" s="4">
        <f>AVERAGE(S8:S12)</f>
        <v>3.3766666666666665</v>
      </c>
      <c r="V8" s="4">
        <f>AVERAGE(T8:T12)</f>
        <v>9.0833333333333339</v>
      </c>
      <c r="W8" s="4">
        <f>V8/U8</f>
        <v>2.6900296150049363</v>
      </c>
      <c r="Y8" s="6" t="s">
        <v>26</v>
      </c>
      <c r="Z8" s="5"/>
      <c r="AA8" s="6">
        <v>3.7</v>
      </c>
      <c r="AC8" s="4">
        <f>AVERAGE(AA8:AA12)</f>
        <v>3.4566666666666666</v>
      </c>
      <c r="AD8" s="4">
        <f>AVERAGE(AB8:AB12)</f>
        <v>6.88</v>
      </c>
      <c r="AE8" s="4">
        <f>AD8/AC8</f>
        <v>1.9903567984570878</v>
      </c>
      <c r="AG8" s="6" t="s">
        <v>36</v>
      </c>
      <c r="AK8" s="4">
        <f>AVERAGE(AI8:AI12)</f>
        <v>4.7699999999999996</v>
      </c>
      <c r="AL8" s="4">
        <f>AVERAGE(AJ8:AJ12)</f>
        <v>5.793333333333333</v>
      </c>
      <c r="AM8" s="4">
        <f>AL8/AK8</f>
        <v>1.2145352900069881</v>
      </c>
      <c r="AO8" s="6" t="s">
        <v>40</v>
      </c>
      <c r="AQ8" s="6">
        <v>2.4700000000000002</v>
      </c>
      <c r="AS8" s="4">
        <f>AVERAGE(AQ8:AQ12)</f>
        <v>3.1533333333333338</v>
      </c>
      <c r="AT8" s="4">
        <f>AVERAGE(AR8:AR12)</f>
        <v>5.88</v>
      </c>
      <c r="AU8" s="4">
        <f>AT8/AS8</f>
        <v>1.8646934460887947</v>
      </c>
    </row>
    <row r="9" spans="1:47" s="6" customFormat="1" x14ac:dyDescent="0.2">
      <c r="A9" s="4"/>
      <c r="B9" s="5"/>
      <c r="C9" s="4">
        <v>5.29</v>
      </c>
      <c r="D9" s="4">
        <v>8.7100000000000009</v>
      </c>
      <c r="E9" s="4"/>
      <c r="F9" s="4"/>
      <c r="G9" s="4"/>
      <c r="I9" s="4"/>
      <c r="J9" s="5"/>
      <c r="K9" s="4"/>
      <c r="L9" s="4">
        <v>4.76</v>
      </c>
      <c r="M9" s="4"/>
      <c r="N9" s="4"/>
      <c r="O9" s="4"/>
      <c r="R9" s="5"/>
      <c r="S9" s="6">
        <v>3.2</v>
      </c>
      <c r="T9" s="6">
        <v>11.58</v>
      </c>
      <c r="U9" s="4"/>
      <c r="V9" s="4"/>
      <c r="W9" s="4"/>
      <c r="Z9" s="5"/>
      <c r="AB9" s="6">
        <v>7.4</v>
      </c>
      <c r="AC9" s="4"/>
      <c r="AD9" s="4"/>
      <c r="AE9" s="4"/>
      <c r="AI9" s="6">
        <v>5.73</v>
      </c>
      <c r="AJ9" s="6">
        <v>8.93</v>
      </c>
      <c r="AK9" s="4"/>
      <c r="AL9" s="4"/>
      <c r="AM9" s="4"/>
      <c r="AQ9" s="6">
        <v>3.73</v>
      </c>
      <c r="AR9" s="6">
        <v>4.2699999999999996</v>
      </c>
      <c r="AS9" s="4"/>
      <c r="AT9" s="4"/>
      <c r="AU9" s="4"/>
    </row>
    <row r="10" spans="1:47" s="6" customFormat="1" x14ac:dyDescent="0.2">
      <c r="A10" s="4"/>
      <c r="B10" s="5"/>
      <c r="C10" s="4"/>
      <c r="D10" s="4">
        <v>3.63</v>
      </c>
      <c r="E10" s="4"/>
      <c r="F10" s="4"/>
      <c r="G10" s="4"/>
      <c r="I10" s="4"/>
      <c r="J10" s="5"/>
      <c r="K10" s="4">
        <v>3.53</v>
      </c>
      <c r="L10" s="4">
        <v>5.58</v>
      </c>
      <c r="M10" s="4"/>
      <c r="N10" s="4"/>
      <c r="O10" s="4"/>
      <c r="R10" s="5"/>
      <c r="T10" s="6">
        <v>8.0500000000000007</v>
      </c>
      <c r="U10" s="4"/>
      <c r="V10" s="4"/>
      <c r="W10" s="4"/>
      <c r="Z10" s="5"/>
      <c r="AA10" s="6">
        <v>3.4</v>
      </c>
      <c r="AB10" s="6">
        <v>6.03</v>
      </c>
      <c r="AC10" s="4"/>
      <c r="AD10" s="4"/>
      <c r="AE10" s="4"/>
      <c r="AI10" s="6">
        <v>4.3099999999999996</v>
      </c>
      <c r="AJ10" s="6">
        <v>3.79</v>
      </c>
      <c r="AK10" s="4"/>
      <c r="AL10" s="4"/>
      <c r="AM10" s="4"/>
      <c r="AQ10" s="6">
        <v>3.26</v>
      </c>
      <c r="AR10" s="6">
        <v>5.16</v>
      </c>
      <c r="AS10" s="4"/>
      <c r="AT10" s="4"/>
      <c r="AU10" s="4"/>
    </row>
    <row r="11" spans="1:47" s="6" customFormat="1" x14ac:dyDescent="0.2">
      <c r="A11" s="4"/>
      <c r="B11" s="5"/>
      <c r="C11" s="4">
        <v>3.28</v>
      </c>
      <c r="D11" s="4">
        <v>6.27</v>
      </c>
      <c r="E11" s="4"/>
      <c r="F11" s="4"/>
      <c r="G11" s="4"/>
      <c r="I11" s="4"/>
      <c r="J11" s="5"/>
      <c r="K11" s="4"/>
      <c r="L11" s="4"/>
      <c r="M11" s="4"/>
      <c r="N11" s="4"/>
      <c r="O11" s="4"/>
      <c r="R11" s="5"/>
      <c r="S11" s="6">
        <v>2.82</v>
      </c>
      <c r="U11" s="4"/>
      <c r="V11" s="4"/>
      <c r="W11" s="4"/>
      <c r="Z11" s="5"/>
      <c r="AB11" s="6">
        <v>7.21</v>
      </c>
      <c r="AC11" s="4"/>
      <c r="AD11" s="4"/>
      <c r="AE11" s="4"/>
      <c r="AK11" s="4"/>
      <c r="AL11" s="4"/>
      <c r="AM11" s="4"/>
      <c r="AR11" s="6">
        <v>8.2100000000000009</v>
      </c>
      <c r="AS11" s="4"/>
      <c r="AT11" s="4"/>
      <c r="AU11" s="4"/>
    </row>
    <row r="12" spans="1:47" s="6" customFormat="1" x14ac:dyDescent="0.2">
      <c r="A12" s="4"/>
      <c r="B12" s="5"/>
      <c r="C12" s="4">
        <v>4.17</v>
      </c>
      <c r="D12" s="4"/>
      <c r="E12" s="4"/>
      <c r="F12" s="4"/>
      <c r="G12" s="4"/>
      <c r="I12" s="4"/>
      <c r="J12" s="5"/>
      <c r="K12" s="4">
        <v>4.41</v>
      </c>
      <c r="L12" s="4"/>
      <c r="M12" s="4"/>
      <c r="N12" s="4"/>
      <c r="O12" s="4"/>
      <c r="R12" s="5"/>
      <c r="S12" s="6">
        <v>4.1100000000000003</v>
      </c>
      <c r="U12" s="4"/>
      <c r="V12" s="4"/>
      <c r="W12" s="4"/>
      <c r="Z12" s="5"/>
      <c r="AA12" s="6">
        <v>3.27</v>
      </c>
      <c r="AC12" s="4"/>
      <c r="AD12" s="4"/>
      <c r="AE12" s="4"/>
      <c r="AI12" s="6">
        <v>4.2699999999999996</v>
      </c>
      <c r="AJ12" s="6">
        <v>4.66</v>
      </c>
      <c r="AK12" s="4"/>
      <c r="AL12" s="4"/>
      <c r="AM12" s="4"/>
      <c r="AS12" s="4"/>
      <c r="AT12" s="4"/>
      <c r="AU12" s="4"/>
    </row>
    <row r="13" spans="1:47" x14ac:dyDescent="0.2">
      <c r="A13" s="1" t="s">
        <v>14</v>
      </c>
      <c r="B13" s="2"/>
      <c r="E13" s="1">
        <f>AVERAGE(C13:C17)</f>
        <v>4.5200000000000005</v>
      </c>
      <c r="F13" s="1">
        <f>AVERAGE(D13:D17)</f>
        <v>5.876666666666666</v>
      </c>
      <c r="G13" s="1">
        <f>F13/E13</f>
        <v>1.3001474926253684</v>
      </c>
      <c r="I13" s="1" t="s">
        <v>23</v>
      </c>
      <c r="J13" s="2"/>
      <c r="K13" s="1"/>
      <c r="L13" s="1">
        <v>4.03</v>
      </c>
      <c r="M13" s="1">
        <f>AVERAGE(K13:K17)</f>
        <v>5.0933333333333328</v>
      </c>
      <c r="N13" s="1">
        <f>AVERAGE(L13:L17)</f>
        <v>3.6033333333333335</v>
      </c>
      <c r="O13" s="1">
        <f>N13/M13</f>
        <v>0.70746073298429335</v>
      </c>
      <c r="Q13" s="3" t="s">
        <v>19</v>
      </c>
      <c r="R13" s="2"/>
      <c r="T13" s="3">
        <v>7.5</v>
      </c>
      <c r="U13" s="1">
        <f>AVERAGE(S13:S17)</f>
        <v>5.5133333333333328</v>
      </c>
      <c r="V13" s="1">
        <f>AVERAGE(T13:T17)</f>
        <v>7.3133333333333335</v>
      </c>
      <c r="W13" s="1">
        <f>V13/U13</f>
        <v>1.3264812575574367</v>
      </c>
      <c r="Y13" s="3" t="s">
        <v>27</v>
      </c>
      <c r="Z13" s="2"/>
      <c r="AA13" s="3">
        <v>4.5199999999999996</v>
      </c>
      <c r="AB13" s="3">
        <v>6.15</v>
      </c>
      <c r="AC13" s="1">
        <f>AVERAGE(AA13:AA17)</f>
        <v>4.5233333333333334</v>
      </c>
      <c r="AD13" s="1">
        <f>AVERAGE(AB13:AB17)</f>
        <v>6.1033333333333326</v>
      </c>
      <c r="AE13" s="1">
        <f>AD13/AC13</f>
        <v>1.3492999263080323</v>
      </c>
      <c r="AG13" s="3" t="s">
        <v>37</v>
      </c>
      <c r="AI13" s="3">
        <v>4.28</v>
      </c>
      <c r="AK13" s="1">
        <f>AVERAGE(AI13:AI17)</f>
        <v>5.2833333333333341</v>
      </c>
      <c r="AL13" s="1">
        <f>AVERAGE(AJ13:AJ17)</f>
        <v>3.3699999999999997</v>
      </c>
      <c r="AM13" s="1">
        <f>AL13/AK13</f>
        <v>0.63785488958990522</v>
      </c>
      <c r="AO13" s="3" t="s">
        <v>41</v>
      </c>
      <c r="AR13" s="3">
        <v>3.7</v>
      </c>
      <c r="AS13" s="1">
        <f>AVERAGE(AQ13:AQ17)</f>
        <v>2.9633333333333334</v>
      </c>
      <c r="AT13" s="1">
        <f>AVERAGE(AR13:AR17)</f>
        <v>4.3766666666666678</v>
      </c>
      <c r="AU13" s="1">
        <f>AT13/AS13</f>
        <v>1.4769403824521938</v>
      </c>
    </row>
    <row r="14" spans="1:47" x14ac:dyDescent="0.2">
      <c r="B14" s="2"/>
      <c r="D14" s="1">
        <v>5.26</v>
      </c>
      <c r="I14" s="1"/>
      <c r="J14" s="2"/>
      <c r="K14" s="1">
        <v>5.56</v>
      </c>
      <c r="L14" s="1">
        <v>3.5</v>
      </c>
      <c r="M14" s="1"/>
      <c r="N14" s="1"/>
      <c r="O14" s="1"/>
      <c r="R14" s="2"/>
      <c r="S14" s="3">
        <v>6.33</v>
      </c>
      <c r="T14" s="3">
        <v>6.91</v>
      </c>
      <c r="U14" s="1"/>
      <c r="V14" s="1"/>
      <c r="W14" s="1"/>
      <c r="Z14" s="2"/>
      <c r="AB14" s="3">
        <v>4.96</v>
      </c>
      <c r="AC14" s="1"/>
      <c r="AD14" s="1"/>
      <c r="AE14" s="1"/>
      <c r="AI14" s="3">
        <v>5.63</v>
      </c>
      <c r="AJ14" s="3">
        <v>2.33</v>
      </c>
      <c r="AK14" s="1"/>
      <c r="AL14" s="1"/>
      <c r="AM14" s="1"/>
      <c r="AS14" s="1"/>
      <c r="AT14" s="1"/>
      <c r="AU14" s="1"/>
    </row>
    <row r="15" spans="1:47" x14ac:dyDescent="0.2">
      <c r="B15" s="2"/>
      <c r="C15" s="1">
        <v>4.49</v>
      </c>
      <c r="D15" s="1">
        <v>5.66</v>
      </c>
      <c r="I15" s="1"/>
      <c r="J15" s="2"/>
      <c r="K15" s="1">
        <v>5.79</v>
      </c>
      <c r="L15" s="1">
        <v>3.28</v>
      </c>
      <c r="M15" s="1"/>
      <c r="N15" s="1"/>
      <c r="O15" s="1"/>
      <c r="R15" s="2"/>
      <c r="U15" s="1"/>
      <c r="V15" s="1"/>
      <c r="W15" s="1"/>
      <c r="Z15" s="2"/>
      <c r="AA15" s="3">
        <v>4.84</v>
      </c>
      <c r="AC15" s="1"/>
      <c r="AD15" s="1"/>
      <c r="AE15" s="1"/>
      <c r="AI15" s="3">
        <v>5.94</v>
      </c>
      <c r="AJ15" s="3">
        <v>4.42</v>
      </c>
      <c r="AK15" s="1"/>
      <c r="AL15" s="1"/>
      <c r="AM15" s="1"/>
      <c r="AQ15" s="3">
        <v>1.19</v>
      </c>
      <c r="AR15" s="3">
        <v>4.49</v>
      </c>
      <c r="AS15" s="1"/>
      <c r="AT15" s="1"/>
      <c r="AU15" s="1"/>
    </row>
    <row r="16" spans="1:47" x14ac:dyDescent="0.2">
      <c r="B16" s="2"/>
      <c r="C16" s="1">
        <v>4.72</v>
      </c>
      <c r="D16" s="1">
        <v>6.71</v>
      </c>
      <c r="I16" s="1"/>
      <c r="J16" s="2"/>
      <c r="K16" s="1">
        <v>3.93</v>
      </c>
      <c r="L16" s="1"/>
      <c r="M16" s="1"/>
      <c r="N16" s="1"/>
      <c r="O16" s="1"/>
      <c r="R16" s="2"/>
      <c r="S16" s="3">
        <v>5.84</v>
      </c>
      <c r="U16" s="1"/>
      <c r="V16" s="1"/>
      <c r="W16" s="1"/>
      <c r="Z16" s="2"/>
      <c r="AA16" s="3">
        <v>4.21</v>
      </c>
      <c r="AC16" s="1"/>
      <c r="AD16" s="1"/>
      <c r="AE16" s="1"/>
      <c r="AJ16" s="3">
        <v>3.36</v>
      </c>
      <c r="AK16" s="1"/>
      <c r="AL16" s="1"/>
      <c r="AM16" s="1"/>
      <c r="AQ16" s="3">
        <v>4.1399999999999997</v>
      </c>
      <c r="AR16" s="3">
        <v>4.9400000000000004</v>
      </c>
      <c r="AS16" s="1"/>
      <c r="AT16" s="1"/>
      <c r="AU16" s="1"/>
    </row>
    <row r="17" spans="1:47" x14ac:dyDescent="0.2">
      <c r="B17" s="2"/>
      <c r="C17" s="1">
        <v>4.3499999999999996</v>
      </c>
      <c r="I17" s="1"/>
      <c r="J17" s="2"/>
      <c r="K17" s="1"/>
      <c r="L17" s="1"/>
      <c r="M17" s="1"/>
      <c r="N17" s="1"/>
      <c r="O17" s="1"/>
      <c r="R17" s="2"/>
      <c r="S17" s="3">
        <v>4.37</v>
      </c>
      <c r="T17" s="3">
        <v>7.53</v>
      </c>
      <c r="U17" s="1"/>
      <c r="V17" s="1"/>
      <c r="W17" s="1"/>
      <c r="Z17" s="2"/>
      <c r="AB17" s="3">
        <v>7.2</v>
      </c>
      <c r="AC17" s="1"/>
      <c r="AD17" s="1"/>
      <c r="AE17" s="1"/>
      <c r="AK17" s="1"/>
      <c r="AL17" s="1"/>
      <c r="AM17" s="1"/>
      <c r="AQ17" s="3">
        <v>3.56</v>
      </c>
      <c r="AS17" s="1"/>
      <c r="AT17" s="1"/>
      <c r="AU17" s="1"/>
    </row>
    <row r="18" spans="1:47" s="6" customFormat="1" x14ac:dyDescent="0.2">
      <c r="A18" s="4" t="s">
        <v>7</v>
      </c>
      <c r="B18" s="5"/>
      <c r="C18" s="4">
        <v>4.74</v>
      </c>
      <c r="D18" s="4"/>
      <c r="E18" s="4">
        <f>AVERAGE(C18:C22)</f>
        <v>5.7333333333333334</v>
      </c>
      <c r="F18" s="4">
        <f>AVERAGE(D18:D22)</f>
        <v>6.2333333333333334</v>
      </c>
      <c r="G18" s="4">
        <f>F18/E18</f>
        <v>1.0872093023255813</v>
      </c>
      <c r="I18" s="4" t="s">
        <v>24</v>
      </c>
      <c r="J18" s="5"/>
      <c r="K18" s="4">
        <v>3.01</v>
      </c>
      <c r="L18" s="4">
        <v>8.43</v>
      </c>
      <c r="M18" s="4">
        <f>AVERAGE(K18:K22)</f>
        <v>2.46</v>
      </c>
      <c r="N18" s="4">
        <f>AVERAGE(L18:L22)</f>
        <v>6.63</v>
      </c>
      <c r="O18" s="4">
        <f>N18/M18</f>
        <v>2.6951219512195124</v>
      </c>
      <c r="Q18" s="6" t="s">
        <v>20</v>
      </c>
      <c r="R18" s="5"/>
      <c r="U18" s="4">
        <f>AVERAGE(S18:S22)</f>
        <v>4.7966666666666669</v>
      </c>
      <c r="V18" s="4">
        <f>AVERAGE(T18:T22)</f>
        <v>6.3066666666666675</v>
      </c>
      <c r="W18" s="4">
        <f>V18/U18</f>
        <v>1.3148019457956917</v>
      </c>
      <c r="Y18" s="6" t="s">
        <v>30</v>
      </c>
      <c r="Z18" s="5"/>
      <c r="AA18" s="6">
        <v>3.22</v>
      </c>
      <c r="AB18" s="6">
        <v>7.91</v>
      </c>
      <c r="AC18" s="4">
        <f>AVERAGE(AA18:AA22)</f>
        <v>3.5700000000000003</v>
      </c>
      <c r="AD18" s="4">
        <f>AVERAGE(AB18:AB22)</f>
        <v>8.2433333333333341</v>
      </c>
      <c r="AE18" s="4">
        <f>AD18/AC18</f>
        <v>2.3090569561157799</v>
      </c>
      <c r="AG18" s="6" t="s">
        <v>38</v>
      </c>
      <c r="AI18" s="6">
        <v>5.79</v>
      </c>
      <c r="AJ18" s="6">
        <v>6.51</v>
      </c>
      <c r="AK18" s="4">
        <f>AVERAGE(AI18:AI22)</f>
        <v>5.7333333333333343</v>
      </c>
      <c r="AL18" s="4">
        <f>AVERAGE(AJ18:AJ22)</f>
        <v>5.9533333333333331</v>
      </c>
      <c r="AM18" s="4">
        <f>AL18/AK18</f>
        <v>1.0383720930232556</v>
      </c>
      <c r="AO18" s="6" t="s">
        <v>42</v>
      </c>
      <c r="AR18" s="6">
        <v>8.49</v>
      </c>
      <c r="AS18" s="4">
        <f>AVERAGE(AQ18:AQ22)</f>
        <v>3.36</v>
      </c>
      <c r="AT18" s="4">
        <f>AVERAGE(AR18:AR22)</f>
        <v>6.4066666666666663</v>
      </c>
      <c r="AU18" s="4">
        <f>AT18/AS18</f>
        <v>1.9067460317460316</v>
      </c>
    </row>
    <row r="19" spans="1:47" s="6" customFormat="1" x14ac:dyDescent="0.2">
      <c r="A19" s="4"/>
      <c r="B19" s="5"/>
      <c r="C19" s="4">
        <v>7.02</v>
      </c>
      <c r="D19" s="4">
        <v>6.7</v>
      </c>
      <c r="E19" s="4"/>
      <c r="F19" s="4"/>
      <c r="G19" s="4"/>
      <c r="I19" s="4"/>
      <c r="J19" s="5"/>
      <c r="K19" s="4">
        <v>2.4900000000000002</v>
      </c>
      <c r="L19" s="4">
        <v>5.83</v>
      </c>
      <c r="M19" s="4"/>
      <c r="N19" s="4"/>
      <c r="O19" s="4"/>
      <c r="R19" s="5"/>
      <c r="U19" s="4"/>
      <c r="V19" s="4"/>
      <c r="W19" s="4"/>
      <c r="Z19" s="5"/>
      <c r="AB19" s="6">
        <v>9</v>
      </c>
      <c r="AC19" s="4"/>
      <c r="AD19" s="4"/>
      <c r="AE19" s="4"/>
      <c r="AK19" s="4"/>
      <c r="AL19" s="4"/>
      <c r="AM19" s="4"/>
      <c r="AS19" s="4"/>
      <c r="AT19" s="4"/>
      <c r="AU19" s="4"/>
    </row>
    <row r="20" spans="1:47" s="6" customFormat="1" x14ac:dyDescent="0.2">
      <c r="A20" s="4"/>
      <c r="B20" s="5"/>
      <c r="C20" s="4"/>
      <c r="D20" s="4"/>
      <c r="E20" s="4"/>
      <c r="F20" s="4"/>
      <c r="G20" s="4"/>
      <c r="I20" s="4"/>
      <c r="J20" s="5"/>
      <c r="K20" s="4">
        <v>1.88</v>
      </c>
      <c r="L20" s="4"/>
      <c r="M20" s="4"/>
      <c r="N20" s="4"/>
      <c r="O20" s="4"/>
      <c r="R20" s="5"/>
      <c r="S20" s="6">
        <v>5.21</v>
      </c>
      <c r="T20" s="6">
        <v>7.61</v>
      </c>
      <c r="U20" s="4"/>
      <c r="V20" s="4"/>
      <c r="W20" s="4"/>
      <c r="Z20" s="5"/>
      <c r="AC20" s="4"/>
      <c r="AD20" s="4"/>
      <c r="AE20" s="4"/>
      <c r="AJ20" s="6">
        <v>6.52</v>
      </c>
      <c r="AK20" s="4"/>
      <c r="AL20" s="4"/>
      <c r="AM20" s="4"/>
      <c r="AQ20" s="6">
        <v>2.08</v>
      </c>
      <c r="AR20" s="6">
        <v>5.75</v>
      </c>
      <c r="AS20" s="4"/>
      <c r="AT20" s="4"/>
      <c r="AU20" s="4"/>
    </row>
    <row r="21" spans="1:47" s="6" customFormat="1" x14ac:dyDescent="0.2">
      <c r="A21" s="4"/>
      <c r="B21" s="5"/>
      <c r="C21" s="4">
        <v>5.44</v>
      </c>
      <c r="D21" s="4">
        <v>5.63</v>
      </c>
      <c r="E21" s="4"/>
      <c r="F21" s="4"/>
      <c r="G21" s="4"/>
      <c r="I21" s="4"/>
      <c r="J21" s="5"/>
      <c r="K21" s="4"/>
      <c r="L21" s="4"/>
      <c r="M21" s="4"/>
      <c r="N21" s="4"/>
      <c r="O21" s="4"/>
      <c r="R21" s="5"/>
      <c r="S21" s="6">
        <v>5</v>
      </c>
      <c r="T21" s="6">
        <v>5.82</v>
      </c>
      <c r="U21" s="4"/>
      <c r="V21" s="4"/>
      <c r="W21" s="4"/>
      <c r="Z21" s="5"/>
      <c r="AA21" s="6">
        <v>4.2300000000000004</v>
      </c>
      <c r="AB21" s="6">
        <v>7.82</v>
      </c>
      <c r="AC21" s="4"/>
      <c r="AD21" s="4"/>
      <c r="AE21" s="4"/>
      <c r="AI21" s="6">
        <v>6.42</v>
      </c>
      <c r="AK21" s="4"/>
      <c r="AL21" s="4"/>
      <c r="AM21" s="4"/>
      <c r="AQ21" s="6">
        <v>4</v>
      </c>
      <c r="AR21" s="6">
        <v>4.9800000000000004</v>
      </c>
      <c r="AS21" s="4"/>
      <c r="AT21" s="4"/>
      <c r="AU21" s="4"/>
    </row>
    <row r="22" spans="1:47" s="6" customFormat="1" x14ac:dyDescent="0.2">
      <c r="A22" s="4"/>
      <c r="B22" s="5"/>
      <c r="C22" s="4"/>
      <c r="D22" s="4">
        <v>6.37</v>
      </c>
      <c r="E22" s="4"/>
      <c r="F22" s="4"/>
      <c r="G22" s="4"/>
      <c r="I22" s="4"/>
      <c r="J22" s="5"/>
      <c r="K22" s="4"/>
      <c r="L22" s="4">
        <v>5.63</v>
      </c>
      <c r="M22" s="4"/>
      <c r="N22" s="4"/>
      <c r="O22" s="4"/>
      <c r="R22" s="5"/>
      <c r="S22" s="6">
        <v>4.18</v>
      </c>
      <c r="T22" s="6">
        <v>5.49</v>
      </c>
      <c r="U22" s="4"/>
      <c r="V22" s="4"/>
      <c r="W22" s="4"/>
      <c r="Z22" s="5"/>
      <c r="AA22" s="6">
        <v>3.26</v>
      </c>
      <c r="AC22" s="4"/>
      <c r="AD22" s="4"/>
      <c r="AE22" s="4"/>
      <c r="AI22" s="6">
        <v>4.99</v>
      </c>
      <c r="AJ22" s="6">
        <v>4.83</v>
      </c>
      <c r="AK22" s="4"/>
      <c r="AL22" s="4"/>
      <c r="AM22" s="4"/>
      <c r="AQ22" s="6">
        <v>4</v>
      </c>
      <c r="AS22" s="4"/>
      <c r="AT22" s="4"/>
      <c r="AU22" s="4"/>
    </row>
    <row r="23" spans="1:47" x14ac:dyDescent="0.2">
      <c r="A23" s="1" t="s">
        <v>9</v>
      </c>
      <c r="B23" s="2"/>
      <c r="E23" s="1">
        <f>AVERAGE(C23:C27)</f>
        <v>5.0100000000000007</v>
      </c>
      <c r="F23" s="1">
        <f>AVERAGE(D23:D27)</f>
        <v>7.126666666666666</v>
      </c>
      <c r="G23" s="1">
        <f>F23/E23</f>
        <v>1.4224883566200928</v>
      </c>
      <c r="I23" s="1" t="s">
        <v>14</v>
      </c>
      <c r="J23" s="2"/>
      <c r="K23" s="1"/>
      <c r="L23" s="1">
        <v>4.96</v>
      </c>
      <c r="M23" s="1">
        <f>AVERAGE(K23:K27)</f>
        <v>4.2533333333333339</v>
      </c>
      <c r="N23" s="1">
        <f>AVERAGE(L23:L27)</f>
        <v>5.5933333333333337</v>
      </c>
      <c r="O23" s="1">
        <f>N23/M23</f>
        <v>1.3150470219435737</v>
      </c>
      <c r="Q23" s="3" t="s">
        <v>10</v>
      </c>
      <c r="R23" s="2"/>
      <c r="S23" s="3">
        <v>7.59</v>
      </c>
      <c r="U23" s="1">
        <f>AVERAGE(S23:S27)</f>
        <v>8.11</v>
      </c>
      <c r="V23" s="1">
        <f>AVERAGE(T23:T27)</f>
        <v>6.6266666666666678</v>
      </c>
      <c r="W23" s="1">
        <f>V23/U23</f>
        <v>0.81709823263460768</v>
      </c>
      <c r="Y23" s="3" t="s">
        <v>31</v>
      </c>
      <c r="AB23" s="3">
        <v>8.7100000000000009</v>
      </c>
      <c r="AC23" s="1">
        <f>AVERAGE(AA23:AA27)</f>
        <v>4.13</v>
      </c>
      <c r="AD23" s="1">
        <f>AVERAGE(AB23:AB27)</f>
        <v>8.2033333333333331</v>
      </c>
      <c r="AE23" s="1">
        <f>AD23/AC23</f>
        <v>1.9862792574656982</v>
      </c>
      <c r="AG23" s="3" t="s">
        <v>28</v>
      </c>
      <c r="AJ23" s="3">
        <v>5.4</v>
      </c>
      <c r="AK23" s="1">
        <f>AVERAGE(AI23:AI27)</f>
        <v>3.1433333333333331</v>
      </c>
      <c r="AL23" s="1">
        <f>AVERAGE(AJ23:AJ27)</f>
        <v>5.5733333333333333</v>
      </c>
      <c r="AM23" s="1">
        <f>AL23/AK23</f>
        <v>1.7730646871686109</v>
      </c>
      <c r="AO23" s="3" t="s">
        <v>33</v>
      </c>
      <c r="AR23" s="3">
        <v>7.46</v>
      </c>
      <c r="AS23" s="1">
        <f>AVERAGE(AQ23:AQ27)</f>
        <v>3.32</v>
      </c>
      <c r="AT23" s="1">
        <f>AVERAGE(AR23:AR27)</f>
        <v>7.2766666666666673</v>
      </c>
      <c r="AU23" s="1">
        <f>AT23/AS23</f>
        <v>2.1917670682730925</v>
      </c>
    </row>
    <row r="24" spans="1:47" x14ac:dyDescent="0.2">
      <c r="B24" s="2"/>
      <c r="C24" s="1">
        <v>5.53</v>
      </c>
      <c r="D24" s="1">
        <v>6.05</v>
      </c>
      <c r="J24" s="2"/>
      <c r="K24" s="1">
        <v>4.4800000000000004</v>
      </c>
      <c r="L24" s="1"/>
      <c r="M24" s="1"/>
      <c r="N24" s="1"/>
      <c r="O24" s="1"/>
      <c r="R24" s="2"/>
      <c r="T24" s="3">
        <v>7.83</v>
      </c>
      <c r="U24" s="1"/>
      <c r="V24" s="1"/>
      <c r="W24" s="1"/>
      <c r="AA24" s="3">
        <v>3.74</v>
      </c>
      <c r="AB24" s="3">
        <v>8.18</v>
      </c>
      <c r="AC24" s="1"/>
      <c r="AD24" s="1"/>
      <c r="AE24" s="1"/>
      <c r="AI24" s="3">
        <v>3.64</v>
      </c>
      <c r="AK24" s="1"/>
      <c r="AL24" s="1"/>
      <c r="AM24" s="1"/>
      <c r="AQ24" s="3">
        <v>3.13</v>
      </c>
      <c r="AR24" s="3">
        <v>6.75</v>
      </c>
      <c r="AS24" s="1"/>
      <c r="AT24" s="1"/>
      <c r="AU24" s="1"/>
    </row>
    <row r="25" spans="1:47" x14ac:dyDescent="0.2">
      <c r="B25" s="2"/>
      <c r="C25" s="1">
        <v>5.23</v>
      </c>
      <c r="I25" s="1"/>
      <c r="J25" s="2"/>
      <c r="K25" s="1"/>
      <c r="L25" s="1">
        <v>6.5</v>
      </c>
      <c r="M25" s="1"/>
      <c r="N25" s="1"/>
      <c r="O25" s="1"/>
      <c r="R25" s="2"/>
      <c r="S25" s="3">
        <v>8.75</v>
      </c>
      <c r="T25" s="3">
        <v>7.47</v>
      </c>
      <c r="U25" s="1"/>
      <c r="V25" s="1"/>
      <c r="W25" s="1"/>
      <c r="AB25" s="3">
        <v>7.72</v>
      </c>
      <c r="AC25" s="1"/>
      <c r="AD25" s="1"/>
      <c r="AE25" s="1"/>
      <c r="AJ25" s="3">
        <v>5.28</v>
      </c>
      <c r="AK25" s="1"/>
      <c r="AL25" s="1"/>
      <c r="AM25" s="1"/>
      <c r="AR25" s="3">
        <v>7.62</v>
      </c>
      <c r="AS25" s="1"/>
      <c r="AT25" s="1"/>
      <c r="AU25" s="1"/>
    </row>
    <row r="26" spans="1:47" x14ac:dyDescent="0.2">
      <c r="B26" s="2"/>
      <c r="D26" s="1">
        <v>8.01</v>
      </c>
      <c r="I26" s="1"/>
      <c r="J26" s="2"/>
      <c r="K26" s="1">
        <v>3.31</v>
      </c>
      <c r="L26" s="1"/>
      <c r="M26" s="1"/>
      <c r="N26" s="1"/>
      <c r="O26" s="1"/>
      <c r="R26" s="2"/>
      <c r="S26" s="3">
        <v>7.99</v>
      </c>
      <c r="U26" s="1"/>
      <c r="V26" s="1"/>
      <c r="W26" s="1"/>
      <c r="AA26" s="3">
        <v>4.41</v>
      </c>
      <c r="AC26" s="1"/>
      <c r="AD26" s="1"/>
      <c r="AE26" s="1"/>
      <c r="AI26" s="3">
        <v>2.3199999999999998</v>
      </c>
      <c r="AK26" s="1"/>
      <c r="AL26" s="1"/>
      <c r="AM26" s="1"/>
      <c r="AQ26" s="3">
        <v>3.4</v>
      </c>
      <c r="AS26" s="1"/>
      <c r="AT26" s="1"/>
      <c r="AU26" s="1"/>
    </row>
    <row r="27" spans="1:47" x14ac:dyDescent="0.2">
      <c r="B27" s="2"/>
      <c r="C27" s="1">
        <v>4.2699999999999996</v>
      </c>
      <c r="D27" s="1">
        <v>7.32</v>
      </c>
      <c r="I27" s="1"/>
      <c r="J27" s="2"/>
      <c r="K27" s="1">
        <v>4.97</v>
      </c>
      <c r="L27" s="3">
        <v>5.32</v>
      </c>
      <c r="M27" s="1"/>
      <c r="N27" s="1"/>
      <c r="O27" s="1"/>
      <c r="R27" s="2"/>
      <c r="T27" s="3">
        <v>4.58</v>
      </c>
      <c r="U27" s="1"/>
      <c r="V27" s="1"/>
      <c r="W27" s="1"/>
      <c r="AA27" s="3">
        <v>4.24</v>
      </c>
      <c r="AC27" s="1"/>
      <c r="AD27" s="1"/>
      <c r="AE27" s="1"/>
      <c r="AI27" s="3">
        <v>3.47</v>
      </c>
      <c r="AJ27" s="3">
        <v>6.04</v>
      </c>
      <c r="AK27" s="1"/>
      <c r="AL27" s="1"/>
      <c r="AM27" s="1"/>
      <c r="AQ27" s="3">
        <v>3.43</v>
      </c>
      <c r="AS27" s="1"/>
      <c r="AT27" s="1"/>
      <c r="AU27" s="1"/>
    </row>
    <row r="28" spans="1:47" s="6" customFormat="1" x14ac:dyDescent="0.2">
      <c r="A28" s="4"/>
      <c r="B28" s="4"/>
      <c r="C28" s="4"/>
      <c r="D28" s="4"/>
      <c r="E28" s="4"/>
      <c r="F28" s="4"/>
      <c r="G28" s="4"/>
      <c r="I28" s="4" t="s">
        <v>15</v>
      </c>
      <c r="L28" s="6">
        <v>3.97</v>
      </c>
      <c r="M28" s="4">
        <f>AVERAGE(K28:K32)</f>
        <v>4.043333333333333</v>
      </c>
      <c r="N28" s="4">
        <f>AVERAGE(L28:L32)</f>
        <v>4.4833333333333334</v>
      </c>
      <c r="O28" s="4">
        <f>N28/M28</f>
        <v>1.1088211046990932</v>
      </c>
      <c r="Q28" s="6" t="s">
        <v>11</v>
      </c>
      <c r="S28" s="6">
        <v>5.14</v>
      </c>
      <c r="T28" s="6">
        <v>7.63</v>
      </c>
      <c r="U28" s="4">
        <f>AVERAGE(S28:S32)</f>
        <v>4.7266666666666666</v>
      </c>
      <c r="V28" s="4">
        <f>AVERAGE(T28:T32)</f>
        <v>7.03</v>
      </c>
      <c r="W28" s="4">
        <f>V28/U28</f>
        <v>1.4873060648801129</v>
      </c>
      <c r="Y28" s="6" t="s">
        <v>32</v>
      </c>
      <c r="AA28" s="6">
        <v>2.62</v>
      </c>
      <c r="AB28" s="6">
        <v>8.69</v>
      </c>
      <c r="AC28" s="4">
        <f>AVERAGE(AA28:AA32)</f>
        <v>2.8166666666666664</v>
      </c>
      <c r="AD28" s="4">
        <f>AVERAGE(AB28:AB32)</f>
        <v>7.9833333333333334</v>
      </c>
      <c r="AE28" s="4">
        <f>AD28/AC28</f>
        <v>2.834319526627219</v>
      </c>
      <c r="AG28" s="6" t="s">
        <v>29</v>
      </c>
      <c r="AI28" s="6">
        <v>3.49</v>
      </c>
      <c r="AK28" s="4">
        <f>AVERAGE(AI28:AI32)</f>
        <v>3.7033333333333331</v>
      </c>
      <c r="AL28" s="4">
        <f>AVERAGE(AJ28:AJ32)</f>
        <v>8.3699999999999992</v>
      </c>
      <c r="AM28" s="4">
        <f>AL28/AK28</f>
        <v>2.2601260126012601</v>
      </c>
      <c r="AO28" s="6" t="s">
        <v>34</v>
      </c>
      <c r="AR28" s="6">
        <v>4.9800000000000004</v>
      </c>
      <c r="AS28" s="4">
        <f>AVERAGE(AQ28:AQ32)</f>
        <v>4.55</v>
      </c>
      <c r="AT28" s="4">
        <f>AVERAGE(AR28:AR32)</f>
        <v>6.1033333333333344</v>
      </c>
      <c r="AU28" s="4">
        <f>AT28/AS28</f>
        <v>1.3413919413919417</v>
      </c>
    </row>
    <row r="29" spans="1:47" s="6" customFormat="1" x14ac:dyDescent="0.2">
      <c r="A29" s="4"/>
      <c r="B29" s="4"/>
      <c r="C29" s="4"/>
      <c r="D29" s="4"/>
      <c r="K29" s="6">
        <v>3.45</v>
      </c>
      <c r="L29" s="6">
        <v>5.33</v>
      </c>
      <c r="S29" s="6">
        <v>5.21</v>
      </c>
      <c r="T29" s="6">
        <v>6.32</v>
      </c>
      <c r="AJ29" s="6">
        <v>7.59</v>
      </c>
      <c r="AQ29" s="6">
        <v>5.43</v>
      </c>
      <c r="AR29" s="6">
        <v>6.92</v>
      </c>
    </row>
    <row r="30" spans="1:47" s="6" customFormat="1" x14ac:dyDescent="0.2">
      <c r="A30" s="4"/>
      <c r="B30" s="4"/>
      <c r="C30" s="4"/>
      <c r="D30" s="4"/>
      <c r="E30" s="4"/>
      <c r="F30" s="4"/>
      <c r="G30" s="4"/>
      <c r="K30" s="6">
        <v>5.48</v>
      </c>
      <c r="L30" s="4">
        <v>4.1500000000000004</v>
      </c>
      <c r="T30" s="6">
        <v>7.14</v>
      </c>
      <c r="AJ30" s="6">
        <v>8.91</v>
      </c>
      <c r="AQ30" s="6">
        <v>4.21</v>
      </c>
    </row>
    <row r="31" spans="1:47" s="6" customFormat="1" x14ac:dyDescent="0.2">
      <c r="A31" s="4"/>
      <c r="B31" s="4"/>
      <c r="C31" s="4"/>
      <c r="D31" s="4"/>
      <c r="E31" s="4"/>
      <c r="F31" s="4"/>
      <c r="G31" s="4"/>
      <c r="I31" s="4"/>
      <c r="J31" s="4"/>
      <c r="K31" s="4"/>
      <c r="M31" s="4"/>
      <c r="N31" s="4"/>
      <c r="O31" s="4"/>
      <c r="Q31" s="4"/>
      <c r="R31" s="4"/>
      <c r="S31" s="4"/>
      <c r="T31" s="4"/>
      <c r="U31" s="4"/>
      <c r="V31" s="4"/>
      <c r="W31" s="4"/>
      <c r="Y31" s="4"/>
      <c r="Z31" s="4"/>
      <c r="AA31" s="4">
        <v>2.95</v>
      </c>
      <c r="AB31" s="4">
        <v>7.76</v>
      </c>
      <c r="AC31" s="4"/>
      <c r="AD31" s="4"/>
      <c r="AE31" s="4"/>
      <c r="AI31" s="6">
        <v>2.99</v>
      </c>
      <c r="AJ31" s="6">
        <v>8.61</v>
      </c>
    </row>
    <row r="32" spans="1:47" s="6" customFormat="1" x14ac:dyDescent="0.2">
      <c r="A32" s="4"/>
      <c r="B32" s="5"/>
      <c r="C32" s="4"/>
      <c r="D32" s="4"/>
      <c r="E32" s="4"/>
      <c r="F32" s="4"/>
      <c r="G32" s="4"/>
      <c r="J32" s="5"/>
      <c r="K32" s="6">
        <v>3.2</v>
      </c>
      <c r="L32" s="4"/>
      <c r="M32" s="4"/>
      <c r="N32" s="4"/>
      <c r="O32" s="4"/>
      <c r="R32" s="5"/>
      <c r="S32" s="6">
        <v>3.83</v>
      </c>
      <c r="U32" s="4"/>
      <c r="V32" s="4"/>
      <c r="W32" s="4"/>
      <c r="Z32" s="5"/>
      <c r="AA32" s="6">
        <v>2.88</v>
      </c>
      <c r="AB32" s="6">
        <v>7.5</v>
      </c>
      <c r="AC32" s="4"/>
      <c r="AD32" s="4"/>
      <c r="AE32" s="4"/>
      <c r="AI32" s="6">
        <v>4.63</v>
      </c>
      <c r="AQ32" s="6">
        <v>4.01</v>
      </c>
      <c r="AR32" s="6">
        <v>6.41</v>
      </c>
    </row>
    <row r="33" spans="1:31" x14ac:dyDescent="0.2">
      <c r="A33" s="3"/>
      <c r="B33" s="2"/>
      <c r="J33" s="2"/>
      <c r="M33" s="1"/>
      <c r="N33" s="1"/>
      <c r="O33" s="1"/>
      <c r="R33" s="2"/>
      <c r="U33" s="1"/>
      <c r="V33" s="1"/>
      <c r="W33" s="1"/>
      <c r="Z33" s="2"/>
      <c r="AC33" s="1"/>
      <c r="AD33" s="1"/>
      <c r="AE33" s="1"/>
    </row>
    <row r="34" spans="1:31" x14ac:dyDescent="0.2">
      <c r="A34" s="3"/>
      <c r="B34" s="2"/>
      <c r="J34" s="2"/>
      <c r="M34" s="1"/>
      <c r="N34" s="1"/>
      <c r="O34" s="1"/>
      <c r="R34" s="2"/>
      <c r="U34" s="1"/>
      <c r="V34" s="1"/>
      <c r="W34" s="1"/>
      <c r="Z34" s="2"/>
      <c r="AC34" s="1"/>
      <c r="AD34" s="1"/>
      <c r="AE34" s="1"/>
    </row>
    <row r="35" spans="1:31" x14ac:dyDescent="0.2">
      <c r="A35" s="3"/>
      <c r="B35" s="2"/>
      <c r="J35" s="2"/>
      <c r="M35" s="1"/>
      <c r="N35" s="1"/>
      <c r="O35" s="1"/>
      <c r="R35" s="2"/>
      <c r="U35" s="1"/>
      <c r="V35" s="1"/>
      <c r="W35" s="1"/>
      <c r="Z35" s="2"/>
      <c r="AC35" s="1"/>
      <c r="AD35" s="1"/>
      <c r="AE35" s="1"/>
    </row>
    <row r="36" spans="1:31" x14ac:dyDescent="0.2">
      <c r="A36" s="3"/>
      <c r="B36" s="1" t="s">
        <v>6</v>
      </c>
      <c r="C36" s="1" t="s">
        <v>3</v>
      </c>
      <c r="D36" s="1" t="s">
        <v>4</v>
      </c>
      <c r="E36" s="1" t="s">
        <v>5</v>
      </c>
      <c r="J36" s="2"/>
      <c r="M36" s="1"/>
      <c r="N36" s="1"/>
      <c r="O36" s="1"/>
      <c r="R36" s="2"/>
      <c r="U36" s="1"/>
      <c r="V36" s="1"/>
      <c r="W36" s="1"/>
      <c r="Z36" s="2"/>
      <c r="AC36" s="1"/>
      <c r="AD36" s="1"/>
      <c r="AE36" s="1"/>
    </row>
    <row r="37" spans="1:31" x14ac:dyDescent="0.2">
      <c r="A37" s="1">
        <v>1</v>
      </c>
      <c r="B37" s="1" t="s">
        <v>12</v>
      </c>
      <c r="C37" s="1">
        <v>3.76</v>
      </c>
      <c r="D37" s="1">
        <v>6.4200000000000008</v>
      </c>
      <c r="E37" s="1">
        <v>1.7074468085106387</v>
      </c>
      <c r="J37" s="2"/>
      <c r="M37" s="1"/>
      <c r="N37" s="1"/>
      <c r="O37" s="1"/>
      <c r="R37" s="2"/>
      <c r="U37" s="1"/>
      <c r="V37" s="1"/>
      <c r="W37" s="1"/>
      <c r="Z37" s="2"/>
      <c r="AC37" s="1"/>
      <c r="AD37" s="1"/>
      <c r="AE37" s="1"/>
    </row>
    <row r="38" spans="1:31" x14ac:dyDescent="0.2">
      <c r="A38" s="3">
        <v>2</v>
      </c>
      <c r="B38" s="4" t="s">
        <v>13</v>
      </c>
      <c r="C38" s="4">
        <v>4.246666666666667</v>
      </c>
      <c r="D38" s="4">
        <v>6.2033333333333331</v>
      </c>
      <c r="E38" s="4">
        <v>1.4607535321821035</v>
      </c>
      <c r="J38" s="2"/>
      <c r="M38" s="1"/>
      <c r="N38" s="1"/>
      <c r="O38" s="1"/>
      <c r="R38" s="2"/>
      <c r="U38" s="1"/>
      <c r="V38" s="1"/>
      <c r="W38" s="1"/>
      <c r="Z38" s="2"/>
      <c r="AC38" s="1"/>
      <c r="AD38" s="1"/>
      <c r="AE38" s="1"/>
    </row>
    <row r="39" spans="1:31" x14ac:dyDescent="0.2">
      <c r="A39" s="1">
        <v>3</v>
      </c>
      <c r="B39" s="1" t="s">
        <v>14</v>
      </c>
      <c r="C39" s="1">
        <v>4.5200000000000005</v>
      </c>
      <c r="D39" s="1">
        <v>5.876666666666666</v>
      </c>
      <c r="E39" s="1">
        <v>1.3001474926253684</v>
      </c>
      <c r="J39" s="2"/>
      <c r="M39" s="1"/>
      <c r="N39" s="1"/>
      <c r="O39" s="1"/>
      <c r="R39" s="2"/>
      <c r="U39" s="1"/>
      <c r="V39" s="1"/>
      <c r="W39" s="1"/>
      <c r="Z39" s="2"/>
      <c r="AC39" s="1"/>
      <c r="AD39" s="1"/>
      <c r="AE39" s="1"/>
    </row>
    <row r="40" spans="1:31" x14ac:dyDescent="0.2">
      <c r="A40" s="3">
        <v>4</v>
      </c>
      <c r="B40" s="1" t="s">
        <v>15</v>
      </c>
      <c r="C40" s="1">
        <v>4.2533333333333339</v>
      </c>
      <c r="D40" s="1">
        <v>5.5933333333333337</v>
      </c>
      <c r="E40" s="1">
        <v>1.3150470219435737</v>
      </c>
      <c r="J40" s="2"/>
      <c r="M40" s="1"/>
      <c r="N40" s="1"/>
      <c r="O40" s="1"/>
      <c r="R40" s="2"/>
      <c r="U40" s="1"/>
      <c r="V40" s="1"/>
      <c r="W40" s="1"/>
      <c r="Z40" s="2"/>
      <c r="AC40" s="1"/>
      <c r="AD40" s="1"/>
      <c r="AE40" s="1"/>
    </row>
    <row r="41" spans="1:31" x14ac:dyDescent="0.2">
      <c r="A41" s="1">
        <v>5</v>
      </c>
      <c r="B41" s="4" t="s">
        <v>16</v>
      </c>
      <c r="C41" s="4">
        <v>4.043333333333333</v>
      </c>
      <c r="D41" s="4">
        <v>4.4833333333333334</v>
      </c>
      <c r="E41" s="4">
        <v>1.1088211046990932</v>
      </c>
      <c r="J41" s="2"/>
      <c r="M41" s="1"/>
      <c r="N41" s="1"/>
      <c r="O41" s="1"/>
      <c r="R41" s="2"/>
      <c r="U41" s="1"/>
      <c r="V41" s="1"/>
      <c r="W41" s="1"/>
      <c r="Z41" s="2"/>
      <c r="AC41" s="1"/>
      <c r="AD41" s="1"/>
      <c r="AE41" s="1"/>
    </row>
    <row r="42" spans="1:31" x14ac:dyDescent="0.2">
      <c r="A42" s="3">
        <v>6</v>
      </c>
      <c r="B42" s="4" t="s">
        <v>7</v>
      </c>
      <c r="C42" s="4">
        <v>5.7333333333333334</v>
      </c>
      <c r="D42" s="4">
        <v>6.2333333333333334</v>
      </c>
      <c r="E42" s="4">
        <v>1.0872093023255813</v>
      </c>
      <c r="J42" s="2"/>
      <c r="M42" s="1"/>
      <c r="N42" s="1"/>
      <c r="O42" s="1"/>
      <c r="R42" s="2"/>
      <c r="U42" s="1"/>
      <c r="V42" s="1"/>
      <c r="W42" s="1"/>
      <c r="Z42" s="2"/>
      <c r="AC42" s="1"/>
      <c r="AD42" s="1"/>
      <c r="AE42" s="1"/>
    </row>
    <row r="43" spans="1:31" x14ac:dyDescent="0.2">
      <c r="A43" s="1">
        <v>7</v>
      </c>
      <c r="J43" s="2"/>
      <c r="M43" s="1"/>
      <c r="N43" s="1"/>
      <c r="O43" s="1"/>
      <c r="R43" s="2"/>
      <c r="U43" s="1"/>
      <c r="V43" s="1"/>
      <c r="W43" s="1"/>
      <c r="Z43" s="2"/>
      <c r="AC43" s="1"/>
      <c r="AD43" s="1"/>
      <c r="AE43" s="1"/>
    </row>
    <row r="44" spans="1:31" x14ac:dyDescent="0.2">
      <c r="A44" s="3">
        <v>8</v>
      </c>
      <c r="B44" s="1" t="s">
        <v>9</v>
      </c>
      <c r="C44" s="1">
        <v>5.0100000000000007</v>
      </c>
      <c r="D44" s="1">
        <v>7.126666666666666</v>
      </c>
      <c r="E44" s="1">
        <v>1.4224883566200928</v>
      </c>
      <c r="J44" s="2"/>
      <c r="M44" s="1"/>
      <c r="N44" s="1"/>
      <c r="O44" s="1"/>
      <c r="R44" s="2"/>
      <c r="U44" s="1"/>
      <c r="V44" s="1"/>
      <c r="W44" s="1"/>
      <c r="Z44" s="2"/>
      <c r="AC44" s="1"/>
      <c r="AD44" s="1"/>
      <c r="AE44" s="1"/>
    </row>
    <row r="45" spans="1:31" x14ac:dyDescent="0.2">
      <c r="A45" s="1">
        <v>9</v>
      </c>
      <c r="B45" s="3" t="s">
        <v>10</v>
      </c>
      <c r="C45" s="1">
        <v>8.11</v>
      </c>
      <c r="D45" s="1">
        <v>6.6266666666666678</v>
      </c>
      <c r="E45" s="1">
        <v>0.81709823263460768</v>
      </c>
      <c r="J45" s="2"/>
      <c r="M45" s="1"/>
      <c r="N45" s="1"/>
      <c r="O45" s="1"/>
      <c r="R45" s="2"/>
      <c r="U45" s="1"/>
      <c r="V45" s="1"/>
      <c r="W45" s="1"/>
      <c r="Z45" s="2"/>
      <c r="AC45" s="1"/>
      <c r="AD45" s="1"/>
      <c r="AE45" s="1"/>
    </row>
    <row r="46" spans="1:31" x14ac:dyDescent="0.2">
      <c r="A46" s="3">
        <v>10</v>
      </c>
      <c r="B46" s="6" t="s">
        <v>11</v>
      </c>
      <c r="C46" s="4">
        <v>4.7266666666666666</v>
      </c>
      <c r="D46" s="4">
        <v>7.03</v>
      </c>
      <c r="E46" s="4">
        <v>1.4873060648801129</v>
      </c>
      <c r="M46" s="1"/>
      <c r="N46" s="1"/>
      <c r="O46" s="1"/>
      <c r="R46" s="2"/>
      <c r="U46" s="1"/>
      <c r="V46" s="1"/>
      <c r="W46" s="1"/>
      <c r="Z46" s="2"/>
      <c r="AC46" s="1"/>
      <c r="AD46" s="1"/>
      <c r="AE46" s="1"/>
    </row>
    <row r="47" spans="1:31" x14ac:dyDescent="0.2">
      <c r="A47" s="1">
        <v>11</v>
      </c>
      <c r="B47" s="1" t="s">
        <v>21</v>
      </c>
      <c r="C47" s="1">
        <v>3.7399999999999998</v>
      </c>
      <c r="D47" s="1">
        <v>6.6933333333333325</v>
      </c>
      <c r="E47" s="1">
        <v>1.7896613190730837</v>
      </c>
      <c r="J47" s="2"/>
      <c r="M47" s="1"/>
      <c r="N47" s="1"/>
      <c r="O47" s="1"/>
      <c r="R47" s="2"/>
      <c r="U47" s="1"/>
      <c r="V47" s="1"/>
      <c r="W47" s="1"/>
      <c r="Z47" s="2"/>
      <c r="AC47" s="1"/>
      <c r="AD47" s="1"/>
      <c r="AE47" s="1"/>
    </row>
    <row r="48" spans="1:31" x14ac:dyDescent="0.2">
      <c r="A48" s="3">
        <v>12</v>
      </c>
      <c r="B48" s="4" t="s">
        <v>22</v>
      </c>
      <c r="C48" s="4">
        <v>3.8566666666666669</v>
      </c>
      <c r="D48" s="4">
        <v>5.15</v>
      </c>
      <c r="E48" s="4">
        <v>1.3353500432152117</v>
      </c>
      <c r="J48" s="2"/>
      <c r="M48" s="1"/>
      <c r="N48" s="1"/>
      <c r="O48" s="1"/>
      <c r="R48" s="2"/>
      <c r="Z48" s="2"/>
    </row>
    <row r="49" spans="1:26" x14ac:dyDescent="0.2">
      <c r="A49" s="1">
        <v>13</v>
      </c>
      <c r="B49" s="1" t="s">
        <v>23</v>
      </c>
      <c r="C49" s="1">
        <v>5.0933333333333328</v>
      </c>
      <c r="D49" s="1">
        <v>3.6033333333333335</v>
      </c>
      <c r="E49" s="1">
        <v>0.70746073298429335</v>
      </c>
      <c r="J49" s="2"/>
      <c r="M49" s="1"/>
      <c r="N49" s="1"/>
      <c r="O49" s="1"/>
      <c r="R49" s="2"/>
      <c r="Z49" s="2"/>
    </row>
    <row r="50" spans="1:26" x14ac:dyDescent="0.2">
      <c r="A50" s="3">
        <v>14</v>
      </c>
      <c r="B50" s="4" t="s">
        <v>24</v>
      </c>
      <c r="C50" s="4">
        <v>2.46</v>
      </c>
      <c r="D50" s="4">
        <v>6.63</v>
      </c>
      <c r="E50" s="4">
        <v>2.6951219512195124</v>
      </c>
      <c r="J50" s="2"/>
      <c r="M50" s="1"/>
      <c r="N50" s="1"/>
      <c r="O50" s="1"/>
      <c r="R50" s="2"/>
      <c r="Z50" s="2"/>
    </row>
    <row r="51" spans="1:26" x14ac:dyDescent="0.2">
      <c r="A51" s="1">
        <v>15</v>
      </c>
      <c r="B51" s="3" t="s">
        <v>17</v>
      </c>
      <c r="C51" s="1">
        <v>5.8033333333333337</v>
      </c>
      <c r="D51" s="1">
        <v>5.6266666666666678</v>
      </c>
      <c r="E51" s="1">
        <v>0.96955772544514662</v>
      </c>
      <c r="J51" s="2"/>
      <c r="M51" s="1"/>
      <c r="N51" s="1"/>
      <c r="O51" s="1"/>
      <c r="R51" s="2"/>
      <c r="Z51" s="2"/>
    </row>
    <row r="52" spans="1:26" x14ac:dyDescent="0.2">
      <c r="A52" s="3">
        <v>16</v>
      </c>
      <c r="B52" s="6" t="s">
        <v>18</v>
      </c>
      <c r="C52" s="4">
        <v>3.3766666666666665</v>
      </c>
      <c r="D52" s="4">
        <v>9.0833333333333339</v>
      </c>
      <c r="E52" s="4">
        <v>2.6900296150049363</v>
      </c>
      <c r="J52" s="2"/>
      <c r="M52" s="1"/>
      <c r="N52" s="1"/>
      <c r="O52" s="1"/>
    </row>
    <row r="53" spans="1:26" x14ac:dyDescent="0.2">
      <c r="A53" s="1">
        <v>17</v>
      </c>
      <c r="B53" s="3" t="s">
        <v>19</v>
      </c>
      <c r="C53" s="1">
        <v>5.5133333333333328</v>
      </c>
      <c r="D53" s="1">
        <v>7.3133333333333335</v>
      </c>
      <c r="E53" s="1">
        <v>1.3264812575574367</v>
      </c>
      <c r="J53" s="2"/>
    </row>
    <row r="54" spans="1:26" x14ac:dyDescent="0.2">
      <c r="A54" s="3">
        <v>18</v>
      </c>
      <c r="B54" s="6" t="s">
        <v>20</v>
      </c>
      <c r="C54" s="4">
        <v>4.7966666666666669</v>
      </c>
      <c r="D54" s="4">
        <v>6.3066666666666675</v>
      </c>
      <c r="E54" s="4">
        <v>1.3148019457956917</v>
      </c>
      <c r="J54" s="2"/>
    </row>
    <row r="55" spans="1:26" x14ac:dyDescent="0.2">
      <c r="A55" s="1">
        <v>19</v>
      </c>
      <c r="B55" s="3" t="s">
        <v>25</v>
      </c>
      <c r="C55" s="1">
        <v>0.68333333333333324</v>
      </c>
      <c r="D55" s="1">
        <v>5.4333333333333336</v>
      </c>
      <c r="E55" s="1">
        <v>7.9512195121951237</v>
      </c>
      <c r="J55" s="2"/>
    </row>
    <row r="56" spans="1:26" x14ac:dyDescent="0.2">
      <c r="A56" s="3">
        <v>20</v>
      </c>
      <c r="B56" s="6" t="s">
        <v>26</v>
      </c>
      <c r="C56" s="4">
        <v>3.4566666666666666</v>
      </c>
      <c r="D56" s="4">
        <v>6.88</v>
      </c>
      <c r="E56" s="4">
        <v>1.9903567984570878</v>
      </c>
      <c r="J56" s="2"/>
    </row>
    <row r="57" spans="1:26" x14ac:dyDescent="0.2">
      <c r="A57" s="1">
        <v>21</v>
      </c>
      <c r="B57" s="3" t="s">
        <v>27</v>
      </c>
      <c r="C57" s="1">
        <v>4.5233333333333334</v>
      </c>
      <c r="D57" s="1">
        <v>6.1033333333333326</v>
      </c>
      <c r="E57" s="1">
        <v>1.3492999263080323</v>
      </c>
    </row>
    <row r="58" spans="1:26" x14ac:dyDescent="0.2">
      <c r="A58" s="3">
        <v>22</v>
      </c>
      <c r="B58" s="3" t="s">
        <v>28</v>
      </c>
      <c r="C58" s="1">
        <v>3.1433333333333331</v>
      </c>
      <c r="D58" s="1">
        <v>5.5733333333333333</v>
      </c>
      <c r="E58" s="1">
        <v>1.7730646871686109</v>
      </c>
      <c r="M58" s="1"/>
    </row>
    <row r="59" spans="1:26" x14ac:dyDescent="0.2">
      <c r="A59" s="1">
        <v>23</v>
      </c>
      <c r="B59" s="6" t="s">
        <v>29</v>
      </c>
      <c r="C59" s="4">
        <v>3.7033333333333331</v>
      </c>
      <c r="D59" s="4">
        <v>8.3699999999999992</v>
      </c>
      <c r="E59" s="4">
        <v>2.2601260126012601</v>
      </c>
      <c r="M59" s="1"/>
    </row>
    <row r="60" spans="1:26" x14ac:dyDescent="0.2">
      <c r="A60" s="3">
        <v>24</v>
      </c>
      <c r="B60" s="6" t="s">
        <v>30</v>
      </c>
      <c r="C60" s="4">
        <v>3.5700000000000003</v>
      </c>
      <c r="D60" s="4">
        <v>8.2433333333333341</v>
      </c>
      <c r="E60" s="4">
        <v>2.3090569561157799</v>
      </c>
      <c r="M60" s="1"/>
    </row>
    <row r="61" spans="1:26" x14ac:dyDescent="0.2">
      <c r="A61" s="1">
        <v>25</v>
      </c>
      <c r="B61" s="3" t="s">
        <v>31</v>
      </c>
      <c r="C61" s="1">
        <v>4.13</v>
      </c>
      <c r="D61" s="1">
        <v>8.2033333333333331</v>
      </c>
      <c r="E61" s="1">
        <v>1.9862792574656982</v>
      </c>
      <c r="M61" s="1"/>
    </row>
    <row r="62" spans="1:26" x14ac:dyDescent="0.2">
      <c r="A62" s="3">
        <v>26</v>
      </c>
      <c r="B62" s="6" t="s">
        <v>32</v>
      </c>
      <c r="C62" s="4">
        <v>2.8166666666666664</v>
      </c>
      <c r="D62" s="4">
        <v>7.9833333333333334</v>
      </c>
      <c r="E62" s="4">
        <v>2.834319526627219</v>
      </c>
      <c r="M62" s="1"/>
    </row>
    <row r="63" spans="1:26" x14ac:dyDescent="0.2">
      <c r="A63" s="1">
        <v>27</v>
      </c>
      <c r="B63" s="3" t="s">
        <v>33</v>
      </c>
      <c r="C63" s="1">
        <v>3.32</v>
      </c>
      <c r="D63" s="1">
        <v>7.2766666666666673</v>
      </c>
      <c r="E63" s="1">
        <v>2.1917670682730925</v>
      </c>
      <c r="M63" s="1"/>
    </row>
    <row r="64" spans="1:26" x14ac:dyDescent="0.2">
      <c r="A64" s="3">
        <v>28</v>
      </c>
      <c r="B64" s="6" t="s">
        <v>34</v>
      </c>
      <c r="C64" s="4">
        <v>4.55</v>
      </c>
      <c r="D64" s="4">
        <v>6.1033333333333344</v>
      </c>
      <c r="E64" s="4">
        <v>1.3413919413919417</v>
      </c>
      <c r="M64" s="1"/>
    </row>
    <row r="65" spans="1:13" x14ac:dyDescent="0.2">
      <c r="A65" s="1">
        <v>29</v>
      </c>
      <c r="B65" s="3" t="s">
        <v>35</v>
      </c>
      <c r="C65" s="1">
        <v>4.0666666666666664</v>
      </c>
      <c r="D65" s="1">
        <v>5.706666666666667</v>
      </c>
      <c r="E65" s="1">
        <v>1.4032786885245903</v>
      </c>
      <c r="M65" s="1"/>
    </row>
    <row r="66" spans="1:13" x14ac:dyDescent="0.2">
      <c r="A66" s="3">
        <v>30</v>
      </c>
      <c r="B66" s="6" t="s">
        <v>36</v>
      </c>
      <c r="C66" s="4">
        <v>4.7699999999999996</v>
      </c>
      <c r="D66" s="4">
        <v>5.793333333333333</v>
      </c>
      <c r="E66" s="4">
        <v>1.2145352900069881</v>
      </c>
      <c r="M66" s="1"/>
    </row>
    <row r="67" spans="1:13" x14ac:dyDescent="0.2">
      <c r="A67" s="1">
        <v>31</v>
      </c>
      <c r="B67" s="3" t="s">
        <v>37</v>
      </c>
      <c r="C67" s="1">
        <v>5.2833333333333341</v>
      </c>
      <c r="D67" s="1">
        <v>3.3699999999999997</v>
      </c>
      <c r="E67" s="1">
        <v>0.63785488958990522</v>
      </c>
      <c r="M67" s="1"/>
    </row>
    <row r="68" spans="1:13" x14ac:dyDescent="0.2">
      <c r="A68" s="3">
        <v>32</v>
      </c>
      <c r="B68" s="6" t="s">
        <v>38</v>
      </c>
      <c r="C68" s="4">
        <v>5.7333333333333343</v>
      </c>
      <c r="D68" s="4">
        <v>5.9533333333333331</v>
      </c>
      <c r="E68" s="4">
        <v>1.0383720930232556</v>
      </c>
      <c r="M68" s="1"/>
    </row>
    <row r="69" spans="1:13" x14ac:dyDescent="0.2">
      <c r="A69" s="1">
        <v>33</v>
      </c>
      <c r="B69" s="3" t="s">
        <v>39</v>
      </c>
      <c r="C69" s="1">
        <v>3.0533333333333332</v>
      </c>
      <c r="D69" s="1">
        <v>5.95</v>
      </c>
      <c r="E69" s="1">
        <v>1.9486899563318778</v>
      </c>
      <c r="M69" s="1"/>
    </row>
    <row r="70" spans="1:13" x14ac:dyDescent="0.2">
      <c r="A70" s="3">
        <v>34</v>
      </c>
      <c r="B70" s="6" t="s">
        <v>40</v>
      </c>
      <c r="C70" s="4">
        <v>3.1533333333333338</v>
      </c>
      <c r="D70" s="4">
        <v>5.88</v>
      </c>
      <c r="E70" s="4">
        <v>1.8646934460887947</v>
      </c>
      <c r="M70" s="1"/>
    </row>
    <row r="71" spans="1:13" x14ac:dyDescent="0.2">
      <c r="A71" s="1">
        <v>35</v>
      </c>
      <c r="B71" s="3" t="s">
        <v>41</v>
      </c>
      <c r="C71" s="1">
        <v>2.9633333333333334</v>
      </c>
      <c r="D71" s="1">
        <v>4.3766666666666678</v>
      </c>
      <c r="E71" s="1">
        <v>1.4769403824521938</v>
      </c>
      <c r="M71" s="1"/>
    </row>
    <row r="72" spans="1:13" x14ac:dyDescent="0.2">
      <c r="A72" s="3">
        <v>36</v>
      </c>
      <c r="B72" s="6" t="s">
        <v>42</v>
      </c>
      <c r="C72" s="4">
        <v>3.36</v>
      </c>
      <c r="D72" s="4">
        <v>6.4066666666666663</v>
      </c>
      <c r="E72" s="4">
        <v>1.9067460317460316</v>
      </c>
      <c r="M72" s="1"/>
    </row>
    <row r="73" spans="1:13" x14ac:dyDescent="0.2">
      <c r="B73" s="2"/>
      <c r="M73" s="1"/>
    </row>
    <row r="74" spans="1:13" x14ac:dyDescent="0.2">
      <c r="B74" s="2"/>
      <c r="M74" s="1"/>
    </row>
    <row r="75" spans="1:13" x14ac:dyDescent="0.2">
      <c r="B75" s="2"/>
      <c r="M75" s="1"/>
    </row>
    <row r="76" spans="1:13" x14ac:dyDescent="0.2">
      <c r="B76" s="2"/>
      <c r="M76" s="1"/>
    </row>
    <row r="77" spans="1:13" x14ac:dyDescent="0.2">
      <c r="B77" s="2"/>
      <c r="M77" s="1"/>
    </row>
    <row r="78" spans="1:13" x14ac:dyDescent="0.2">
      <c r="B78" s="2"/>
      <c r="M78" s="1"/>
    </row>
    <row r="79" spans="1:13" x14ac:dyDescent="0.2">
      <c r="B79" s="2"/>
      <c r="M79" s="1"/>
    </row>
    <row r="80" spans="1:13" x14ac:dyDescent="0.2">
      <c r="B80" s="2"/>
      <c r="M80" s="1"/>
    </row>
    <row r="81" spans="13:13" x14ac:dyDescent="0.2">
      <c r="M81" s="1"/>
    </row>
    <row r="82" spans="13:13" x14ac:dyDescent="0.2">
      <c r="M82" s="1"/>
    </row>
    <row r="83" spans="13:13" x14ac:dyDescent="0.2">
      <c r="M83" s="1"/>
    </row>
    <row r="84" spans="13:13" x14ac:dyDescent="0.2">
      <c r="M84" s="1"/>
    </row>
    <row r="85" spans="13:13" x14ac:dyDescent="0.2">
      <c r="M85" s="1"/>
    </row>
    <row r="86" spans="13:13" x14ac:dyDescent="0.2">
      <c r="M86" s="1"/>
    </row>
    <row r="87" spans="13:13" x14ac:dyDescent="0.2">
      <c r="M87" s="1"/>
    </row>
    <row r="88" spans="13:13" x14ac:dyDescent="0.2">
      <c r="M88" s="1"/>
    </row>
    <row r="89" spans="13:13" x14ac:dyDescent="0.2">
      <c r="M89" s="1"/>
    </row>
    <row r="90" spans="13:13" x14ac:dyDescent="0.2">
      <c r="M90" s="1"/>
    </row>
    <row r="91" spans="13:13" x14ac:dyDescent="0.2">
      <c r="M91" s="1"/>
    </row>
    <row r="92" spans="13:13" x14ac:dyDescent="0.2">
      <c r="M92" s="1"/>
    </row>
  </sheetData>
  <mergeCells count="6">
    <mergeCell ref="AO1:AU1"/>
    <mergeCell ref="A1:G1"/>
    <mergeCell ref="I1:O1"/>
    <mergeCell ref="Q1:W1"/>
    <mergeCell ref="Y1:AE1"/>
    <mergeCell ref="AG1:A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372F-2E76-3343-A5B3-8449760AB73A}">
  <dimension ref="A1:AU73"/>
  <sheetViews>
    <sheetView tabSelected="1" topLeftCell="A40" zoomScale="85" zoomScaleNormal="85" workbookViewId="0">
      <selection activeCell="M55" sqref="M55"/>
    </sheetView>
  </sheetViews>
  <sheetFormatPr defaultColWidth="11" defaultRowHeight="15.75" x14ac:dyDescent="0.25"/>
  <sheetData>
    <row r="1" spans="1:47" x14ac:dyDescent="0.25">
      <c r="A1" s="54" t="s">
        <v>162</v>
      </c>
      <c r="B1" s="54"/>
      <c r="C1" s="54"/>
      <c r="D1" s="54"/>
      <c r="E1" s="54"/>
      <c r="F1" s="54"/>
      <c r="G1" s="54"/>
      <c r="H1" s="3"/>
      <c r="I1" s="54" t="s">
        <v>163</v>
      </c>
      <c r="J1" s="54"/>
      <c r="K1" s="54"/>
      <c r="L1" s="54"/>
      <c r="M1" s="54"/>
      <c r="N1" s="54"/>
      <c r="O1" s="54"/>
      <c r="P1" s="3"/>
      <c r="Q1" s="54" t="s">
        <v>164</v>
      </c>
      <c r="R1" s="54"/>
      <c r="S1" s="54"/>
      <c r="T1" s="54"/>
      <c r="U1" s="54"/>
      <c r="V1" s="54"/>
      <c r="W1" s="54"/>
      <c r="X1" s="28"/>
      <c r="Y1" s="54" t="s">
        <v>165</v>
      </c>
      <c r="Z1" s="54"/>
      <c r="AA1" s="54"/>
      <c r="AB1" s="54"/>
      <c r="AC1" s="54"/>
      <c r="AD1" s="54"/>
      <c r="AE1" s="54"/>
      <c r="AF1" s="28"/>
      <c r="AG1" s="54" t="s">
        <v>166</v>
      </c>
      <c r="AH1" s="54"/>
      <c r="AI1" s="54"/>
      <c r="AJ1" s="54"/>
      <c r="AK1" s="54"/>
      <c r="AL1" s="54"/>
      <c r="AM1" s="54"/>
      <c r="AN1" s="3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/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3"/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/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/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3"/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5">
      <c r="A3" s="1" t="s">
        <v>12</v>
      </c>
      <c r="B3" s="2">
        <v>45348</v>
      </c>
      <c r="C3" s="1">
        <v>0.48</v>
      </c>
      <c r="D3" s="1">
        <v>4.37</v>
      </c>
      <c r="E3" s="1">
        <v>0.39999999999999997</v>
      </c>
      <c r="F3" s="1">
        <v>6.0866666666666669</v>
      </c>
      <c r="G3" s="1">
        <v>15.216666666666669</v>
      </c>
      <c r="H3" s="3"/>
      <c r="I3" s="1" t="s">
        <v>21</v>
      </c>
      <c r="J3" s="2">
        <v>45356</v>
      </c>
      <c r="K3" s="1">
        <v>2.5099999999999998</v>
      </c>
      <c r="L3" s="1"/>
      <c r="M3" s="1">
        <f>AVERAGE(K3:K7)</f>
        <v>3.0466666666666669</v>
      </c>
      <c r="N3" s="1">
        <f>AVERAGE(L3:L7)</f>
        <v>8.3600000000000012</v>
      </c>
      <c r="O3" s="1">
        <f>N3/M3</f>
        <v>2.7439824945295408</v>
      </c>
      <c r="P3" s="3"/>
      <c r="Q3" s="3" t="s">
        <v>17</v>
      </c>
      <c r="R3" s="2">
        <v>45357</v>
      </c>
      <c r="S3" s="3"/>
      <c r="T3" s="3">
        <v>6.21</v>
      </c>
      <c r="U3" s="1">
        <f>AVERAGE(S3:S7)</f>
        <v>0.76000000000000012</v>
      </c>
      <c r="V3" s="1">
        <f>AVERAGE(T3:T7)</f>
        <v>7.9899999999999993</v>
      </c>
      <c r="W3" s="1">
        <f>V3/U3</f>
        <v>10.513157894736839</v>
      </c>
      <c r="X3" s="1"/>
      <c r="Y3" s="3" t="s">
        <v>25</v>
      </c>
      <c r="Z3" s="2">
        <v>45351</v>
      </c>
      <c r="AA3" s="3">
        <v>0.09</v>
      </c>
      <c r="AB3" s="3">
        <v>4.25</v>
      </c>
      <c r="AC3" s="1">
        <v>0.16666666666666666</v>
      </c>
      <c r="AD3" s="1">
        <v>3.81</v>
      </c>
      <c r="AE3" s="1">
        <v>22.860000000000003</v>
      </c>
      <c r="AF3" s="1"/>
      <c r="AG3" s="3" t="s">
        <v>35</v>
      </c>
      <c r="AH3" s="53">
        <v>45352</v>
      </c>
      <c r="AI3" s="3">
        <v>0.16</v>
      </c>
      <c r="AJ3" s="3">
        <v>5.82</v>
      </c>
      <c r="AK3" s="1">
        <v>0.17</v>
      </c>
      <c r="AL3" s="1">
        <v>6.2433333333333332</v>
      </c>
      <c r="AM3" s="1">
        <v>36.725490196078425</v>
      </c>
      <c r="AN3" s="3"/>
      <c r="AO3" s="3" t="s">
        <v>39</v>
      </c>
      <c r="AP3" s="53">
        <v>45359</v>
      </c>
      <c r="AQ3" s="3">
        <v>1.75</v>
      </c>
      <c r="AR3" s="3">
        <v>5.04</v>
      </c>
      <c r="AS3" s="1">
        <f>AVERAGE(AQ3:AQ7)</f>
        <v>1.4533333333333331</v>
      </c>
      <c r="AT3" s="1">
        <f>AVERAGE(AR3:AR7)</f>
        <v>6.5900000000000007</v>
      </c>
      <c r="AU3" s="1">
        <f>AT3/AS3</f>
        <v>4.5344036697247718</v>
      </c>
    </row>
    <row r="4" spans="1:47" x14ac:dyDescent="0.25">
      <c r="A4" s="1"/>
      <c r="B4" s="2"/>
      <c r="C4" s="1"/>
      <c r="D4" s="1"/>
      <c r="E4" s="1"/>
      <c r="F4" s="1"/>
      <c r="G4" s="1"/>
      <c r="H4" s="3"/>
      <c r="I4" s="3"/>
      <c r="K4" s="1">
        <v>3.59</v>
      </c>
      <c r="L4" s="1">
        <v>9.48</v>
      </c>
      <c r="M4" s="1"/>
      <c r="N4" s="1"/>
      <c r="O4" s="1"/>
      <c r="P4" s="3"/>
      <c r="Q4" s="3"/>
      <c r="R4" s="2"/>
      <c r="S4" s="3">
        <v>1.37</v>
      </c>
      <c r="T4" s="3"/>
      <c r="U4" s="1"/>
      <c r="V4" s="1"/>
      <c r="W4" s="1"/>
      <c r="X4" s="1"/>
      <c r="Y4" s="3"/>
      <c r="Z4" s="2"/>
      <c r="AA4" s="3"/>
      <c r="AB4" s="3">
        <v>4.2</v>
      </c>
      <c r="AC4" s="1"/>
      <c r="AD4" s="1"/>
      <c r="AE4" s="1"/>
      <c r="AF4" s="1"/>
      <c r="AG4" s="3"/>
      <c r="AH4" s="3"/>
      <c r="AI4" s="3"/>
      <c r="AJ4" s="3">
        <v>8.19</v>
      </c>
      <c r="AK4" s="1"/>
      <c r="AL4" s="1"/>
      <c r="AM4" s="1"/>
      <c r="AN4" s="3"/>
      <c r="AO4" s="3"/>
      <c r="AP4" s="3"/>
      <c r="AQ4" s="3"/>
      <c r="AR4" s="3"/>
      <c r="AS4" s="1"/>
      <c r="AT4" s="1"/>
      <c r="AU4" s="1"/>
    </row>
    <row r="5" spans="1:47" x14ac:dyDescent="0.25">
      <c r="A5" s="1"/>
      <c r="B5" s="2"/>
      <c r="C5" s="1">
        <v>0.28000000000000003</v>
      </c>
      <c r="D5" s="1"/>
      <c r="E5" s="1"/>
      <c r="F5" s="1"/>
      <c r="G5" s="1"/>
      <c r="H5" s="3"/>
      <c r="I5" s="3"/>
      <c r="J5" s="2"/>
      <c r="K5" s="1">
        <v>3.04</v>
      </c>
      <c r="L5" s="1">
        <v>7.82</v>
      </c>
      <c r="M5" s="1"/>
      <c r="N5" s="1"/>
      <c r="O5" s="1"/>
      <c r="P5" s="3"/>
      <c r="Q5" s="3"/>
      <c r="R5" s="2"/>
      <c r="S5" s="3"/>
      <c r="T5" s="3"/>
      <c r="U5" s="1"/>
      <c r="V5" s="1"/>
      <c r="W5" s="1"/>
      <c r="X5" s="1"/>
      <c r="Y5" s="3"/>
      <c r="Z5" s="2"/>
      <c r="AA5" s="3">
        <v>0.23</v>
      </c>
      <c r="AB5" s="3">
        <v>2.98</v>
      </c>
      <c r="AC5" s="1"/>
      <c r="AD5" s="1"/>
      <c r="AE5" s="1"/>
      <c r="AF5" s="1"/>
      <c r="AG5" s="3"/>
      <c r="AH5" s="3"/>
      <c r="AI5" s="3"/>
      <c r="AJ5" s="3"/>
      <c r="AK5" s="1"/>
      <c r="AL5" s="1"/>
      <c r="AM5" s="1"/>
      <c r="AN5" s="3"/>
      <c r="AO5" s="3"/>
      <c r="AP5" s="3"/>
      <c r="AQ5" s="3">
        <v>1.01</v>
      </c>
      <c r="AR5" s="3">
        <v>8.99</v>
      </c>
      <c r="AS5" s="1"/>
      <c r="AT5" s="1"/>
      <c r="AU5" s="1"/>
    </row>
    <row r="6" spans="1:47" x14ac:dyDescent="0.25">
      <c r="A6" s="1"/>
      <c r="B6" s="2"/>
      <c r="C6" s="1">
        <v>0.44</v>
      </c>
      <c r="D6" s="1">
        <v>7.27</v>
      </c>
      <c r="E6" s="1"/>
      <c r="F6" s="1"/>
      <c r="G6" s="1"/>
      <c r="H6" s="3"/>
      <c r="I6" s="3"/>
      <c r="J6" s="2"/>
      <c r="K6" s="1"/>
      <c r="L6" s="1">
        <v>7.78</v>
      </c>
      <c r="M6" s="1"/>
      <c r="N6" s="1"/>
      <c r="O6" s="1"/>
      <c r="P6" s="3"/>
      <c r="Q6" s="3"/>
      <c r="R6" s="2"/>
      <c r="S6" s="3">
        <v>0.34</v>
      </c>
      <c r="T6" s="3">
        <v>8.18</v>
      </c>
      <c r="U6" s="1"/>
      <c r="V6" s="1"/>
      <c r="W6" s="1"/>
      <c r="X6" s="1"/>
      <c r="Y6" s="3"/>
      <c r="Z6" s="2"/>
      <c r="AA6" s="3">
        <v>0.18</v>
      </c>
      <c r="AB6" s="3"/>
      <c r="AC6" s="1"/>
      <c r="AD6" s="1"/>
      <c r="AE6" s="1"/>
      <c r="AF6" s="1"/>
      <c r="AG6" s="3"/>
      <c r="AH6" s="3"/>
      <c r="AI6" s="3">
        <v>0.2</v>
      </c>
      <c r="AJ6" s="3"/>
      <c r="AK6" s="1"/>
      <c r="AL6" s="1"/>
      <c r="AM6" s="1"/>
      <c r="AN6" s="3"/>
      <c r="AO6" s="3"/>
      <c r="AP6" s="3"/>
      <c r="AQ6" s="3"/>
      <c r="AR6" s="3">
        <v>5.74</v>
      </c>
      <c r="AS6" s="1"/>
      <c r="AT6" s="1"/>
      <c r="AU6" s="1"/>
    </row>
    <row r="7" spans="1:47" x14ac:dyDescent="0.25">
      <c r="A7" s="1"/>
      <c r="B7" s="2"/>
      <c r="C7" s="1"/>
      <c r="D7" s="1">
        <v>6.62</v>
      </c>
      <c r="E7" s="1"/>
      <c r="F7" s="1"/>
      <c r="G7" s="1"/>
      <c r="H7" s="3"/>
      <c r="I7" s="1"/>
      <c r="J7" s="2"/>
      <c r="K7" s="1"/>
      <c r="L7" s="1"/>
      <c r="M7" s="1"/>
      <c r="N7" s="1"/>
      <c r="O7" s="1"/>
      <c r="P7" s="3"/>
      <c r="Q7" s="3"/>
      <c r="R7" s="2"/>
      <c r="S7" s="3">
        <v>0.56999999999999995</v>
      </c>
      <c r="T7" s="3">
        <v>9.58</v>
      </c>
      <c r="U7" s="1"/>
      <c r="V7" s="1"/>
      <c r="W7" s="1"/>
      <c r="X7" s="1"/>
      <c r="Y7" s="3"/>
      <c r="Z7" s="2"/>
      <c r="AA7" s="3"/>
      <c r="AB7" s="3"/>
      <c r="AC7" s="1"/>
      <c r="AD7" s="1"/>
      <c r="AE7" s="1"/>
      <c r="AF7" s="1"/>
      <c r="AG7" s="3"/>
      <c r="AH7" s="3"/>
      <c r="AI7" s="3">
        <v>0.15</v>
      </c>
      <c r="AJ7" s="3">
        <v>4.72</v>
      </c>
      <c r="AK7" s="1"/>
      <c r="AL7" s="1"/>
      <c r="AM7" s="1"/>
      <c r="AN7" s="3"/>
      <c r="AO7" s="3"/>
      <c r="AP7" s="3"/>
      <c r="AQ7" s="3">
        <v>1.6</v>
      </c>
      <c r="AR7" s="3"/>
      <c r="AS7" s="1"/>
      <c r="AT7" s="1"/>
      <c r="AU7" s="1"/>
    </row>
    <row r="8" spans="1:47" x14ac:dyDescent="0.25">
      <c r="A8" s="4" t="s">
        <v>13</v>
      </c>
      <c r="B8" s="5"/>
      <c r="C8" s="4"/>
      <c r="D8" s="4">
        <v>4.88</v>
      </c>
      <c r="E8" s="4">
        <v>0.96666666666666667</v>
      </c>
      <c r="F8" s="4">
        <v>5.5200000000000005</v>
      </c>
      <c r="G8" s="4">
        <v>5.7103448275862076</v>
      </c>
      <c r="H8" s="6"/>
      <c r="I8" s="4" t="s">
        <v>22</v>
      </c>
      <c r="J8" s="5"/>
      <c r="K8" s="4"/>
      <c r="L8" s="4">
        <v>3.08</v>
      </c>
      <c r="M8" s="4">
        <f>AVERAGE(K8:K12)</f>
        <v>0.10666666666666667</v>
      </c>
      <c r="N8" s="4">
        <f>AVERAGE(L8:L12)</f>
        <v>7.0066666666666668</v>
      </c>
      <c r="O8" s="4">
        <f>N8/M8</f>
        <v>65.6875</v>
      </c>
      <c r="P8" s="6"/>
      <c r="Q8" s="6" t="s">
        <v>18</v>
      </c>
      <c r="R8" s="5"/>
      <c r="S8" s="6"/>
      <c r="T8" s="6"/>
      <c r="U8" s="4">
        <f>AVERAGE(S8:S12)</f>
        <v>0.73999999999999988</v>
      </c>
      <c r="V8" s="4">
        <f>AVERAGE(T8:T12)</f>
        <v>11.31</v>
      </c>
      <c r="W8" s="4">
        <f>V8/U8</f>
        <v>15.283783783783788</v>
      </c>
      <c r="X8" s="4"/>
      <c r="Y8" s="6" t="s">
        <v>26</v>
      </c>
      <c r="Z8" s="5"/>
      <c r="AA8" s="6"/>
      <c r="AB8" s="6"/>
      <c r="AC8" s="4">
        <v>0.62</v>
      </c>
      <c r="AD8" s="4">
        <v>7.8766666666666678</v>
      </c>
      <c r="AE8" s="4">
        <v>12.70430107526882</v>
      </c>
      <c r="AF8" s="4"/>
      <c r="AG8" s="6" t="s">
        <v>36</v>
      </c>
      <c r="AH8" s="6"/>
      <c r="AI8" s="6">
        <v>0.19</v>
      </c>
      <c r="AJ8" s="6">
        <v>6.64</v>
      </c>
      <c r="AK8" s="4">
        <v>0.31666666666666665</v>
      </c>
      <c r="AL8" s="4">
        <v>7.2633333333333328</v>
      </c>
      <c r="AM8" s="4">
        <v>22.936842105263157</v>
      </c>
      <c r="AN8" s="6"/>
      <c r="AO8" s="6" t="s">
        <v>40</v>
      </c>
      <c r="AP8" s="6"/>
      <c r="AQ8" s="6">
        <v>0.3</v>
      </c>
      <c r="AR8" s="6"/>
      <c r="AS8" s="4">
        <f>AVERAGE(AQ8:AQ12)</f>
        <v>0.18000000000000002</v>
      </c>
      <c r="AT8" s="4">
        <f>AVERAGE(AR8:AR12)</f>
        <v>2.2633333333333332</v>
      </c>
      <c r="AU8" s="4">
        <f>AT8/AS8</f>
        <v>12.574074074074073</v>
      </c>
    </row>
    <row r="9" spans="1:47" x14ac:dyDescent="0.25">
      <c r="A9" s="4"/>
      <c r="B9" s="5"/>
      <c r="C9" s="4">
        <v>0.41</v>
      </c>
      <c r="D9" s="4"/>
      <c r="E9" s="4"/>
      <c r="F9" s="4"/>
      <c r="G9" s="4"/>
      <c r="H9" s="6"/>
      <c r="I9" s="4"/>
      <c r="J9" s="5"/>
      <c r="K9" s="4"/>
      <c r="L9" s="4"/>
      <c r="M9" s="4"/>
      <c r="N9" s="4"/>
      <c r="O9" s="4"/>
      <c r="P9" s="6"/>
      <c r="Q9" s="6"/>
      <c r="R9" s="5"/>
      <c r="S9" s="6">
        <v>0.35</v>
      </c>
      <c r="T9" s="6">
        <v>12.93</v>
      </c>
      <c r="U9" s="4"/>
      <c r="V9" s="4"/>
      <c r="W9" s="4"/>
      <c r="X9" s="4"/>
      <c r="Y9" s="6"/>
      <c r="Z9" s="5"/>
      <c r="AA9" s="6">
        <v>0.27</v>
      </c>
      <c r="AB9" s="6"/>
      <c r="AC9" s="4"/>
      <c r="AD9" s="4"/>
      <c r="AE9" s="4"/>
      <c r="AF9" s="4"/>
      <c r="AG9" s="6"/>
      <c r="AH9" s="6"/>
      <c r="AI9" s="6">
        <v>0.26</v>
      </c>
      <c r="AJ9" s="6">
        <v>6.63</v>
      </c>
      <c r="AK9" s="4"/>
      <c r="AL9" s="4"/>
      <c r="AM9" s="4"/>
      <c r="AN9" s="6"/>
      <c r="AO9" s="6"/>
      <c r="AP9" s="6"/>
      <c r="AQ9" s="6">
        <v>0.12</v>
      </c>
      <c r="AR9" s="6">
        <v>1.92</v>
      </c>
      <c r="AS9" s="4"/>
      <c r="AT9" s="4"/>
      <c r="AU9" s="4"/>
    </row>
    <row r="10" spans="1:47" x14ac:dyDescent="0.25">
      <c r="A10" s="4"/>
      <c r="B10" s="5"/>
      <c r="C10" s="4">
        <v>0.82</v>
      </c>
      <c r="D10" s="4"/>
      <c r="E10" s="4"/>
      <c r="F10" s="4"/>
      <c r="G10" s="4"/>
      <c r="H10" s="6"/>
      <c r="I10" s="4"/>
      <c r="J10" s="5"/>
      <c r="K10" s="4">
        <v>0.2</v>
      </c>
      <c r="L10" s="4"/>
      <c r="M10" s="4"/>
      <c r="N10" s="4"/>
      <c r="O10" s="4"/>
      <c r="P10" s="6"/>
      <c r="Q10" s="6"/>
      <c r="R10" s="5"/>
      <c r="S10" s="6">
        <v>1.01</v>
      </c>
      <c r="T10" s="6">
        <v>11.65</v>
      </c>
      <c r="U10" s="4"/>
      <c r="V10" s="4"/>
      <c r="W10" s="4"/>
      <c r="X10" s="4"/>
      <c r="Y10" s="6"/>
      <c r="Z10" s="5"/>
      <c r="AA10" s="6"/>
      <c r="AB10" s="6">
        <v>6.37</v>
      </c>
      <c r="AC10" s="4"/>
      <c r="AD10" s="4"/>
      <c r="AE10" s="4"/>
      <c r="AF10" s="4"/>
      <c r="AG10" s="6"/>
      <c r="AH10" s="6"/>
      <c r="AI10" s="6"/>
      <c r="AJ10" s="6"/>
      <c r="AK10" s="4"/>
      <c r="AL10" s="4"/>
      <c r="AM10" s="4"/>
      <c r="AN10" s="6"/>
      <c r="AO10" s="6"/>
      <c r="AP10" s="6"/>
      <c r="AQ10" s="6"/>
      <c r="AR10" s="6">
        <v>3.18</v>
      </c>
      <c r="AS10" s="4"/>
      <c r="AT10" s="4"/>
      <c r="AU10" s="4"/>
    </row>
    <row r="11" spans="1:47" x14ac:dyDescent="0.25">
      <c r="A11" s="4"/>
      <c r="B11" s="5"/>
      <c r="C11" s="4"/>
      <c r="D11" s="4">
        <v>5.26</v>
      </c>
      <c r="E11" s="4"/>
      <c r="F11" s="4"/>
      <c r="G11" s="4"/>
      <c r="H11" s="6"/>
      <c r="I11" s="4"/>
      <c r="J11" s="5"/>
      <c r="K11" s="4">
        <v>0.08</v>
      </c>
      <c r="L11" s="4">
        <v>9.01</v>
      </c>
      <c r="M11" s="4"/>
      <c r="N11" s="4"/>
      <c r="O11" s="4"/>
      <c r="P11" s="6"/>
      <c r="Q11" s="6"/>
      <c r="R11" s="5"/>
      <c r="S11" s="6"/>
      <c r="T11" s="6">
        <v>9.35</v>
      </c>
      <c r="U11" s="4"/>
      <c r="V11" s="4"/>
      <c r="W11" s="4"/>
      <c r="X11" s="4"/>
      <c r="Y11" s="6"/>
      <c r="Z11" s="5"/>
      <c r="AA11" s="6">
        <v>1.21</v>
      </c>
      <c r="AB11" s="6">
        <v>8.75</v>
      </c>
      <c r="AC11" s="4"/>
      <c r="AD11" s="4"/>
      <c r="AE11" s="4"/>
      <c r="AF11" s="4"/>
      <c r="AG11" s="6"/>
      <c r="AH11" s="6"/>
      <c r="AI11" s="6"/>
      <c r="AJ11" s="6"/>
      <c r="AK11" s="4"/>
      <c r="AL11" s="4"/>
      <c r="AM11" s="4"/>
      <c r="AN11" s="6"/>
      <c r="AO11" s="6"/>
      <c r="AP11" s="6"/>
      <c r="AQ11" s="6"/>
      <c r="AR11" s="6"/>
      <c r="AS11" s="4"/>
      <c r="AT11" s="4"/>
      <c r="AU11" s="4"/>
    </row>
    <row r="12" spans="1:47" x14ac:dyDescent="0.25">
      <c r="A12" s="4"/>
      <c r="B12" s="5"/>
      <c r="C12" s="4">
        <v>1.67</v>
      </c>
      <c r="D12" s="4">
        <v>6.42</v>
      </c>
      <c r="E12" s="4"/>
      <c r="F12" s="4"/>
      <c r="G12" s="4"/>
      <c r="H12" s="6"/>
      <c r="I12" s="4"/>
      <c r="J12" s="5"/>
      <c r="K12" s="4">
        <v>0.04</v>
      </c>
      <c r="L12" s="4">
        <v>8.93</v>
      </c>
      <c r="M12" s="4"/>
      <c r="N12" s="4"/>
      <c r="O12" s="4"/>
      <c r="P12" s="6"/>
      <c r="Q12" s="6"/>
      <c r="R12" s="5"/>
      <c r="S12" s="6">
        <v>0.86</v>
      </c>
      <c r="T12" s="6"/>
      <c r="U12" s="4"/>
      <c r="V12" s="4"/>
      <c r="W12" s="4"/>
      <c r="X12" s="4"/>
      <c r="Y12" s="6"/>
      <c r="Z12" s="5"/>
      <c r="AA12" s="6">
        <v>0.38</v>
      </c>
      <c r="AB12" s="6">
        <v>8.51</v>
      </c>
      <c r="AC12" s="4"/>
      <c r="AD12" s="4"/>
      <c r="AE12" s="4"/>
      <c r="AF12" s="4"/>
      <c r="AG12" s="6"/>
      <c r="AH12" s="6"/>
      <c r="AI12" s="6">
        <v>0.5</v>
      </c>
      <c r="AJ12" s="6">
        <v>8.52</v>
      </c>
      <c r="AK12" s="4"/>
      <c r="AL12" s="4"/>
      <c r="AM12" s="4"/>
      <c r="AN12" s="6"/>
      <c r="AO12" s="6"/>
      <c r="AP12" s="6"/>
      <c r="AQ12" s="6">
        <v>0.12</v>
      </c>
      <c r="AR12" s="6">
        <v>1.69</v>
      </c>
      <c r="AS12" s="4"/>
      <c r="AT12" s="4"/>
      <c r="AU12" s="4"/>
    </row>
    <row r="13" spans="1:47" x14ac:dyDescent="0.25">
      <c r="A13" s="1" t="s">
        <v>14</v>
      </c>
      <c r="B13" s="2"/>
      <c r="C13" s="1">
        <v>1.04</v>
      </c>
      <c r="D13" s="1">
        <v>6.42</v>
      </c>
      <c r="E13" s="1">
        <v>0.92666666666666675</v>
      </c>
      <c r="F13" s="1">
        <v>8.2700000000000014</v>
      </c>
      <c r="G13" s="1">
        <v>8.9244604316546763</v>
      </c>
      <c r="H13" s="3"/>
      <c r="I13" s="1" t="s">
        <v>23</v>
      </c>
      <c r="J13" s="2"/>
      <c r="K13" s="1">
        <v>0.18</v>
      </c>
      <c r="L13" s="1">
        <v>6.11</v>
      </c>
      <c r="M13" s="1">
        <f>AVERAGE(K13:K17)</f>
        <v>0.16</v>
      </c>
      <c r="N13" s="1">
        <f>AVERAGE(L13:L17)</f>
        <v>6.4733333333333336</v>
      </c>
      <c r="O13" s="1">
        <f>N13/M13</f>
        <v>40.458333333333336</v>
      </c>
      <c r="P13" s="3"/>
      <c r="Q13" s="3" t="s">
        <v>19</v>
      </c>
      <c r="R13" s="2"/>
      <c r="S13" s="3"/>
      <c r="T13" s="3">
        <v>6.25</v>
      </c>
      <c r="U13" s="1">
        <f>AVERAGE(S13:S17)</f>
        <v>0.46666666666666662</v>
      </c>
      <c r="V13" s="1">
        <f>AVERAGE(T13:T17)</f>
        <v>7.333333333333333</v>
      </c>
      <c r="W13" s="1">
        <f>V13/U13</f>
        <v>15.714285714285715</v>
      </c>
      <c r="X13" s="1"/>
      <c r="Y13" s="3" t="s">
        <v>27</v>
      </c>
      <c r="Z13" s="2"/>
      <c r="AA13" s="3">
        <v>0.24</v>
      </c>
      <c r="AB13" s="3"/>
      <c r="AC13" s="1">
        <v>0.29333333333333339</v>
      </c>
      <c r="AD13" s="1">
        <v>5.34</v>
      </c>
      <c r="AE13" s="1">
        <v>18.20454545454545</v>
      </c>
      <c r="AF13" s="1"/>
      <c r="AG13" s="3" t="s">
        <v>37</v>
      </c>
      <c r="AH13" s="3"/>
      <c r="AI13" s="3"/>
      <c r="AJ13" s="3">
        <v>2.11</v>
      </c>
      <c r="AK13" s="1">
        <v>2.206666666666667</v>
      </c>
      <c r="AL13" s="1">
        <v>1.83</v>
      </c>
      <c r="AM13" s="1">
        <v>0.82930513595166155</v>
      </c>
      <c r="AN13" s="3"/>
      <c r="AO13" s="3" t="s">
        <v>41</v>
      </c>
      <c r="AP13" s="3"/>
      <c r="AQ13" s="3">
        <v>1.1299999999999999</v>
      </c>
      <c r="AR13" s="3">
        <v>3.92</v>
      </c>
      <c r="AS13" s="1">
        <f>AVERAGE(AQ13:AQ17)</f>
        <v>0.60333333333333328</v>
      </c>
      <c r="AT13" s="1">
        <f>AVERAGE(AR13:AR17)</f>
        <v>4.05</v>
      </c>
      <c r="AU13" s="1">
        <f>AT13/AS13</f>
        <v>6.7127071823204423</v>
      </c>
    </row>
    <row r="14" spans="1:47" x14ac:dyDescent="0.25">
      <c r="A14" s="1"/>
      <c r="B14" s="2"/>
      <c r="C14" s="1"/>
      <c r="D14" s="1">
        <v>11.56</v>
      </c>
      <c r="E14" s="1"/>
      <c r="F14" s="1"/>
      <c r="G14" s="1"/>
      <c r="H14" s="3"/>
      <c r="I14" s="1"/>
      <c r="J14" s="2"/>
      <c r="K14" s="1"/>
      <c r="L14" s="1">
        <v>7.7</v>
      </c>
      <c r="M14" s="1"/>
      <c r="N14" s="1"/>
      <c r="O14" s="1"/>
      <c r="P14" s="3"/>
      <c r="Q14" s="3"/>
      <c r="R14" s="2"/>
      <c r="S14" s="3">
        <v>0.89</v>
      </c>
      <c r="T14" s="3"/>
      <c r="U14" s="1"/>
      <c r="V14" s="1"/>
      <c r="W14" s="1"/>
      <c r="X14" s="1"/>
      <c r="Y14" s="3"/>
      <c r="Z14" s="2"/>
      <c r="AA14" s="3">
        <v>0.32</v>
      </c>
      <c r="AB14" s="3">
        <v>6.02</v>
      </c>
      <c r="AC14" s="1"/>
      <c r="AD14" s="1"/>
      <c r="AE14" s="1"/>
      <c r="AF14" s="1"/>
      <c r="AG14" s="3"/>
      <c r="AH14" s="3"/>
      <c r="AI14" s="3">
        <v>4.9400000000000004</v>
      </c>
      <c r="AJ14" s="3"/>
      <c r="AK14" s="1"/>
      <c r="AL14" s="1"/>
      <c r="AM14" s="1"/>
      <c r="AN14" s="3"/>
      <c r="AO14" s="3"/>
      <c r="AP14" s="3"/>
      <c r="AQ14" s="3">
        <v>0.21</v>
      </c>
      <c r="AR14" s="3"/>
      <c r="AS14" s="1"/>
      <c r="AT14" s="1"/>
      <c r="AU14" s="1"/>
    </row>
    <row r="15" spans="1:47" x14ac:dyDescent="0.25">
      <c r="A15" s="1"/>
      <c r="B15" s="2"/>
      <c r="C15" s="1">
        <v>0.63</v>
      </c>
      <c r="D15" s="1">
        <v>6.83</v>
      </c>
      <c r="E15" s="1"/>
      <c r="F15" s="1"/>
      <c r="G15" s="1"/>
      <c r="H15" s="3"/>
      <c r="I15" s="1"/>
      <c r="J15" s="2"/>
      <c r="K15" s="1">
        <v>0.27</v>
      </c>
      <c r="L15" s="1"/>
      <c r="M15" s="1"/>
      <c r="N15" s="1"/>
      <c r="O15" s="1"/>
      <c r="P15" s="3"/>
      <c r="Q15" s="3"/>
      <c r="R15" s="2"/>
      <c r="S15" s="3">
        <v>0.24</v>
      </c>
      <c r="T15" s="3">
        <v>10.3</v>
      </c>
      <c r="U15" s="1"/>
      <c r="V15" s="1"/>
      <c r="W15" s="1"/>
      <c r="X15" s="1"/>
      <c r="Y15" s="3"/>
      <c r="Z15" s="2"/>
      <c r="AA15" s="3">
        <v>0.32</v>
      </c>
      <c r="AB15" s="3">
        <v>4.5</v>
      </c>
      <c r="AC15" s="1"/>
      <c r="AD15" s="1"/>
      <c r="AE15" s="1"/>
      <c r="AF15" s="1"/>
      <c r="AG15" s="3"/>
      <c r="AH15" s="3"/>
      <c r="AI15" s="3"/>
      <c r="AJ15" s="3">
        <v>1.1499999999999999</v>
      </c>
      <c r="AK15" s="1"/>
      <c r="AL15" s="1"/>
      <c r="AM15" s="1"/>
      <c r="AN15" s="3"/>
      <c r="AO15" s="3"/>
      <c r="AP15" s="3"/>
      <c r="AQ15" s="3"/>
      <c r="AR15" s="3">
        <v>4.46</v>
      </c>
      <c r="AS15" s="1"/>
      <c r="AT15" s="1"/>
      <c r="AU15" s="1"/>
    </row>
    <row r="16" spans="1:47" x14ac:dyDescent="0.25">
      <c r="A16" s="1"/>
      <c r="B16" s="2"/>
      <c r="C16" s="1"/>
      <c r="D16" s="1"/>
      <c r="E16" s="1"/>
      <c r="F16" s="1"/>
      <c r="G16" s="1"/>
      <c r="H16" s="3"/>
      <c r="I16" s="1"/>
      <c r="J16" s="2"/>
      <c r="K16" s="1"/>
      <c r="L16" s="1">
        <v>5.61</v>
      </c>
      <c r="M16" s="1"/>
      <c r="N16" s="1"/>
      <c r="O16" s="1"/>
      <c r="P16" s="3"/>
      <c r="Q16" s="3"/>
      <c r="R16" s="2"/>
      <c r="S16" s="3">
        <v>0.27</v>
      </c>
      <c r="T16" s="3">
        <v>5.45</v>
      </c>
      <c r="U16" s="1"/>
      <c r="V16" s="1"/>
      <c r="W16" s="1"/>
      <c r="X16" s="1"/>
      <c r="Y16" s="3"/>
      <c r="Z16" s="2"/>
      <c r="AA16" s="3"/>
      <c r="AB16" s="3"/>
      <c r="AC16" s="1"/>
      <c r="AD16" s="1"/>
      <c r="AE16" s="1"/>
      <c r="AF16" s="1"/>
      <c r="AG16" s="3"/>
      <c r="AH16" s="3"/>
      <c r="AI16" s="3">
        <v>0.87</v>
      </c>
      <c r="AJ16" s="3">
        <v>2.23</v>
      </c>
      <c r="AK16" s="1"/>
      <c r="AL16" s="1"/>
      <c r="AM16" s="1"/>
      <c r="AN16" s="3"/>
      <c r="AO16" s="3"/>
      <c r="AP16" s="3"/>
      <c r="AQ16" s="3"/>
      <c r="AR16" s="3">
        <v>3.77</v>
      </c>
      <c r="AS16" s="1"/>
      <c r="AT16" s="1"/>
      <c r="AU16" s="1"/>
    </row>
    <row r="17" spans="1:47" x14ac:dyDescent="0.25">
      <c r="A17" s="1"/>
      <c r="B17" s="2"/>
      <c r="C17" s="1">
        <v>1.1100000000000001</v>
      </c>
      <c r="D17" s="1"/>
      <c r="E17" s="1"/>
      <c r="F17" s="1"/>
      <c r="G17" s="1"/>
      <c r="H17" s="3"/>
      <c r="I17" s="1"/>
      <c r="J17" s="2"/>
      <c r="K17" s="1">
        <v>0.03</v>
      </c>
      <c r="L17" s="1"/>
      <c r="M17" s="1"/>
      <c r="N17" s="1"/>
      <c r="O17" s="1"/>
      <c r="P17" s="3"/>
      <c r="Q17" s="3"/>
      <c r="R17" s="2"/>
      <c r="S17" s="3"/>
      <c r="T17" s="3"/>
      <c r="U17" s="1"/>
      <c r="V17" s="1"/>
      <c r="W17" s="1"/>
      <c r="X17" s="1"/>
      <c r="Y17" s="3"/>
      <c r="Z17" s="2"/>
      <c r="AA17" s="3"/>
      <c r="AB17" s="3">
        <v>5.5</v>
      </c>
      <c r="AC17" s="1"/>
      <c r="AD17" s="1"/>
      <c r="AE17" s="1"/>
      <c r="AF17" s="1"/>
      <c r="AG17" s="3"/>
      <c r="AH17" s="3"/>
      <c r="AI17" s="3">
        <v>0.81</v>
      </c>
      <c r="AJ17" s="3"/>
      <c r="AK17" s="1"/>
      <c r="AL17" s="1"/>
      <c r="AM17" s="1"/>
      <c r="AN17" s="3"/>
      <c r="AO17" s="3"/>
      <c r="AP17" s="3"/>
      <c r="AQ17" s="3">
        <v>0.47</v>
      </c>
      <c r="AR17" s="3"/>
      <c r="AS17" s="1"/>
      <c r="AT17" s="1"/>
      <c r="AU17" s="1"/>
    </row>
    <row r="18" spans="1:47" x14ac:dyDescent="0.25">
      <c r="A18" s="4" t="s">
        <v>7</v>
      </c>
      <c r="B18" s="5"/>
      <c r="C18" s="4">
        <v>0.53</v>
      </c>
      <c r="D18" s="4"/>
      <c r="E18" s="4">
        <v>0.82666666666666666</v>
      </c>
      <c r="F18" s="4">
        <v>7.5966666666666667</v>
      </c>
      <c r="G18" s="4">
        <v>9.189516129032258</v>
      </c>
      <c r="H18" s="6"/>
      <c r="I18" s="4" t="s">
        <v>24</v>
      </c>
      <c r="J18" s="5"/>
      <c r="K18" s="4"/>
      <c r="L18" s="4">
        <v>4.04</v>
      </c>
      <c r="M18" s="4">
        <f>AVERAGE(K18:K22)</f>
        <v>0.16333333333333333</v>
      </c>
      <c r="N18" s="4">
        <f>AVERAGE(L18:L22)</f>
        <v>4.9933333333333332</v>
      </c>
      <c r="O18" s="4">
        <f>N18/M18</f>
        <v>30.571428571428569</v>
      </c>
      <c r="P18" s="6"/>
      <c r="Q18" s="6" t="s">
        <v>20</v>
      </c>
      <c r="R18" s="5"/>
      <c r="S18" s="6">
        <v>0.13</v>
      </c>
      <c r="T18" s="6">
        <v>5.69</v>
      </c>
      <c r="U18" s="4">
        <f>AVERAGE(S18:S22)</f>
        <v>0.34333333333333332</v>
      </c>
      <c r="V18" s="4">
        <f>AVERAGE(T18:T22)</f>
        <v>5.95</v>
      </c>
      <c r="W18" s="4">
        <f>V18/U18</f>
        <v>17.330097087378643</v>
      </c>
      <c r="X18" s="4"/>
      <c r="Y18" s="6" t="s">
        <v>30</v>
      </c>
      <c r="Z18" s="5"/>
      <c r="AA18" s="6"/>
      <c r="AB18" s="6">
        <v>6.89</v>
      </c>
      <c r="AC18" s="4">
        <v>0.43</v>
      </c>
      <c r="AD18" s="4">
        <v>6.919999999999999</v>
      </c>
      <c r="AE18" s="4">
        <v>16.09302325581395</v>
      </c>
      <c r="AF18" s="4"/>
      <c r="AG18" s="6" t="s">
        <v>38</v>
      </c>
      <c r="AH18" s="6"/>
      <c r="AI18" s="6"/>
      <c r="AJ18" s="6"/>
      <c r="AK18" s="4">
        <v>1.0866666666666667</v>
      </c>
      <c r="AL18" s="4">
        <v>5.9333333333333336</v>
      </c>
      <c r="AM18" s="4">
        <v>5.4601226993865035</v>
      </c>
      <c r="AN18" s="6"/>
      <c r="AO18" s="6" t="s">
        <v>42</v>
      </c>
      <c r="AP18" s="6"/>
      <c r="AQ18" s="6"/>
      <c r="AR18" s="6">
        <v>1.28</v>
      </c>
      <c r="AS18" s="4">
        <f>AVERAGE(AQ18:AQ22)</f>
        <v>0.15</v>
      </c>
      <c r="AT18" s="4">
        <f>AVERAGE(AR18:AR22)</f>
        <v>3.11</v>
      </c>
      <c r="AU18" s="4">
        <f>AT18/AS18</f>
        <v>20.733333333333334</v>
      </c>
    </row>
    <row r="19" spans="1:47" x14ac:dyDescent="0.25">
      <c r="A19" s="4"/>
      <c r="B19" s="5"/>
      <c r="C19" s="4">
        <v>0.47</v>
      </c>
      <c r="D19" s="4">
        <v>8.18</v>
      </c>
      <c r="E19" s="4"/>
      <c r="F19" s="4"/>
      <c r="G19" s="4"/>
      <c r="H19" s="6"/>
      <c r="I19" s="4"/>
      <c r="J19" s="5"/>
      <c r="K19" s="4">
        <v>0.14000000000000001</v>
      </c>
      <c r="L19" s="4"/>
      <c r="M19" s="4"/>
      <c r="N19" s="4"/>
      <c r="O19" s="4"/>
      <c r="P19" s="6"/>
      <c r="Q19" s="6"/>
      <c r="R19" s="5"/>
      <c r="S19" s="6"/>
      <c r="T19" s="6"/>
      <c r="U19" s="4"/>
      <c r="V19" s="4"/>
      <c r="W19" s="4"/>
      <c r="X19" s="4"/>
      <c r="Y19" s="6"/>
      <c r="Z19" s="5"/>
      <c r="AA19" s="6">
        <v>0.39</v>
      </c>
      <c r="AB19" s="6">
        <v>6.97</v>
      </c>
      <c r="AC19" s="4"/>
      <c r="AD19" s="4"/>
      <c r="AE19" s="4"/>
      <c r="AF19" s="4"/>
      <c r="AG19" s="6"/>
      <c r="AH19" s="6"/>
      <c r="AI19" s="6"/>
      <c r="AJ19" s="6">
        <v>5.68</v>
      </c>
      <c r="AK19" s="4"/>
      <c r="AL19" s="4"/>
      <c r="AM19" s="4"/>
      <c r="AN19" s="6"/>
      <c r="AO19" s="6"/>
      <c r="AP19" s="6"/>
      <c r="AQ19" s="6">
        <v>0.22</v>
      </c>
      <c r="AR19" s="6">
        <v>3.44</v>
      </c>
      <c r="AS19" s="4"/>
      <c r="AT19" s="4"/>
      <c r="AU19" s="4"/>
    </row>
    <row r="20" spans="1:47" x14ac:dyDescent="0.25">
      <c r="A20" s="4"/>
      <c r="B20" s="5"/>
      <c r="C20" s="4"/>
      <c r="D20" s="4">
        <v>9</v>
      </c>
      <c r="E20" s="4"/>
      <c r="F20" s="4"/>
      <c r="G20" s="4"/>
      <c r="H20" s="6"/>
      <c r="I20" s="4"/>
      <c r="J20" s="5"/>
      <c r="K20" s="4"/>
      <c r="L20" s="4">
        <v>6.85</v>
      </c>
      <c r="M20" s="4"/>
      <c r="N20" s="4"/>
      <c r="O20" s="4"/>
      <c r="P20" s="6"/>
      <c r="Q20" s="6"/>
      <c r="R20" s="5"/>
      <c r="S20" s="6">
        <v>0.57999999999999996</v>
      </c>
      <c r="T20" s="6"/>
      <c r="U20" s="4"/>
      <c r="V20" s="4"/>
      <c r="W20" s="4"/>
      <c r="X20" s="4"/>
      <c r="Y20" s="6"/>
      <c r="Z20" s="5"/>
      <c r="AA20" s="6"/>
      <c r="AB20" s="6"/>
      <c r="AC20" s="4"/>
      <c r="AD20" s="4"/>
      <c r="AE20" s="4"/>
      <c r="AF20" s="4"/>
      <c r="AG20" s="6"/>
      <c r="AH20" s="6"/>
      <c r="AI20" s="6">
        <v>0.66</v>
      </c>
      <c r="AJ20" s="6"/>
      <c r="AK20" s="4"/>
      <c r="AL20" s="4"/>
      <c r="AM20" s="4"/>
      <c r="AN20" s="6"/>
      <c r="AO20" s="6"/>
      <c r="AP20" s="6"/>
      <c r="AQ20" s="6"/>
      <c r="AR20" s="6">
        <v>4.6100000000000003</v>
      </c>
      <c r="AS20" s="4"/>
      <c r="AT20" s="4"/>
      <c r="AU20" s="4"/>
    </row>
    <row r="21" spans="1:47" x14ac:dyDescent="0.25">
      <c r="A21" s="4"/>
      <c r="B21" s="5"/>
      <c r="C21" s="4">
        <v>1.48</v>
      </c>
      <c r="D21" s="4"/>
      <c r="E21" s="4"/>
      <c r="F21" s="4"/>
      <c r="G21" s="4"/>
      <c r="H21" s="6"/>
      <c r="I21" s="4"/>
      <c r="J21" s="5"/>
      <c r="K21" s="4">
        <v>0.2</v>
      </c>
      <c r="L21" s="4"/>
      <c r="M21" s="4"/>
      <c r="N21" s="4"/>
      <c r="O21" s="4"/>
      <c r="P21" s="6"/>
      <c r="Q21" s="6"/>
      <c r="R21" s="5"/>
      <c r="S21" s="6">
        <v>0.32</v>
      </c>
      <c r="T21" s="6">
        <v>7.27</v>
      </c>
      <c r="U21" s="4"/>
      <c r="V21" s="4"/>
      <c r="W21" s="4"/>
      <c r="X21" s="4"/>
      <c r="Y21" s="6"/>
      <c r="Z21" s="5"/>
      <c r="AA21" s="6">
        <v>0.46</v>
      </c>
      <c r="AB21" s="6">
        <v>6.9</v>
      </c>
      <c r="AC21" s="4"/>
      <c r="AD21" s="4"/>
      <c r="AE21" s="4"/>
      <c r="AF21" s="4"/>
      <c r="AG21" s="6"/>
      <c r="AH21" s="6"/>
      <c r="AI21" s="6">
        <v>1.4</v>
      </c>
      <c r="AJ21" s="6">
        <v>5.84</v>
      </c>
      <c r="AK21" s="4"/>
      <c r="AL21" s="4"/>
      <c r="AM21" s="4"/>
      <c r="AN21" s="6"/>
      <c r="AO21" s="6"/>
      <c r="AP21" s="6"/>
      <c r="AQ21" s="6">
        <v>0.15</v>
      </c>
      <c r="AR21" s="6"/>
      <c r="AS21" s="4"/>
      <c r="AT21" s="4"/>
      <c r="AU21" s="4"/>
    </row>
    <row r="22" spans="1:47" x14ac:dyDescent="0.25">
      <c r="A22" s="4"/>
      <c r="B22" s="5"/>
      <c r="C22" s="4"/>
      <c r="D22" s="4">
        <v>5.61</v>
      </c>
      <c r="E22" s="4"/>
      <c r="F22" s="4"/>
      <c r="G22" s="4"/>
      <c r="H22" s="6"/>
      <c r="I22" s="4"/>
      <c r="J22" s="5"/>
      <c r="K22" s="4">
        <v>0.15</v>
      </c>
      <c r="L22" s="4">
        <v>4.09</v>
      </c>
      <c r="M22" s="4"/>
      <c r="N22" s="4"/>
      <c r="O22" s="4"/>
      <c r="P22" s="6"/>
      <c r="Q22" s="6"/>
      <c r="R22" s="5"/>
      <c r="S22" s="6"/>
      <c r="T22" s="6">
        <v>4.8899999999999997</v>
      </c>
      <c r="U22" s="4"/>
      <c r="V22" s="4"/>
      <c r="W22" s="4"/>
      <c r="X22" s="4"/>
      <c r="Y22" s="6"/>
      <c r="Z22" s="5"/>
      <c r="AA22" s="6">
        <v>0.44</v>
      </c>
      <c r="AB22" s="6"/>
      <c r="AC22" s="4"/>
      <c r="AD22" s="4"/>
      <c r="AE22" s="4"/>
      <c r="AF22" s="4"/>
      <c r="AG22" s="6"/>
      <c r="AH22" s="6"/>
      <c r="AI22" s="6">
        <v>1.2</v>
      </c>
      <c r="AJ22" s="6">
        <v>6.28</v>
      </c>
      <c r="AK22" s="4"/>
      <c r="AL22" s="4"/>
      <c r="AM22" s="4"/>
      <c r="AN22" s="6"/>
      <c r="AO22" s="6"/>
      <c r="AP22" s="6"/>
      <c r="AQ22" s="6">
        <v>0.08</v>
      </c>
      <c r="AR22" s="6"/>
      <c r="AS22" s="4"/>
      <c r="AT22" s="4"/>
      <c r="AU22" s="4"/>
    </row>
    <row r="23" spans="1:47" x14ac:dyDescent="0.25">
      <c r="A23" s="1" t="s">
        <v>9</v>
      </c>
      <c r="B23" s="2"/>
      <c r="C23" s="1">
        <v>0.34</v>
      </c>
      <c r="D23" s="1">
        <v>8.0500000000000007</v>
      </c>
      <c r="E23" s="1">
        <v>0.7466666666666667</v>
      </c>
      <c r="F23" s="1">
        <v>5.69</v>
      </c>
      <c r="G23" s="1">
        <v>7.6205357142857144</v>
      </c>
      <c r="H23" s="3"/>
      <c r="I23" s="1" t="s">
        <v>14</v>
      </c>
      <c r="J23" s="2"/>
      <c r="K23" s="1"/>
      <c r="L23" s="1"/>
      <c r="M23" s="1">
        <f>AVERAGE(K23:K27)</f>
        <v>1.7699999999999998</v>
      </c>
      <c r="N23" s="1">
        <f>AVERAGE(L23:L27)</f>
        <v>8.2999999999999989</v>
      </c>
      <c r="O23" s="1">
        <f>N23/M23</f>
        <v>4.6892655367231635</v>
      </c>
      <c r="P23" s="3"/>
      <c r="Q23" s="3" t="s">
        <v>10</v>
      </c>
      <c r="R23" s="2"/>
      <c r="S23" s="3"/>
      <c r="T23" s="3"/>
      <c r="U23" s="1">
        <f>AVERAGE(S23:S27)</f>
        <v>0.86</v>
      </c>
      <c r="V23" s="1">
        <f>AVERAGE(T23:T27)</f>
        <v>5.8533333333333344</v>
      </c>
      <c r="W23" s="1">
        <f>V23/U23</f>
        <v>6.8062015503875983</v>
      </c>
      <c r="X23" s="1"/>
      <c r="Y23" s="3" t="s">
        <v>31</v>
      </c>
      <c r="Z23" s="3"/>
      <c r="AA23" s="3">
        <v>1.83</v>
      </c>
      <c r="AB23" s="3">
        <v>9.15</v>
      </c>
      <c r="AC23" s="1">
        <v>1.8800000000000001</v>
      </c>
      <c r="AD23" s="1">
        <v>8.31</v>
      </c>
      <c r="AE23" s="1">
        <v>4.4202127659574471</v>
      </c>
      <c r="AF23" s="1"/>
      <c r="AG23" s="3" t="s">
        <v>28</v>
      </c>
      <c r="AH23" s="3"/>
      <c r="AI23" s="3">
        <v>0.26</v>
      </c>
      <c r="AJ23" s="3"/>
      <c r="AK23" s="1">
        <v>0.19666666666666666</v>
      </c>
      <c r="AL23" s="1">
        <v>3.9299999999999997</v>
      </c>
      <c r="AM23" s="1">
        <v>19.983050847457626</v>
      </c>
      <c r="AN23" s="3"/>
      <c r="AO23" s="3" t="s">
        <v>33</v>
      </c>
      <c r="AP23" s="3"/>
      <c r="AQ23" s="3">
        <v>0.72</v>
      </c>
      <c r="AR23" s="3">
        <v>7.29</v>
      </c>
      <c r="AS23" s="1">
        <f>AVERAGE(AQ23:AQ27)</f>
        <v>0.32333333333333331</v>
      </c>
      <c r="AT23" s="1">
        <f>AVERAGE(AR23:AR27)</f>
        <v>5.9033333333333333</v>
      </c>
      <c r="AU23" s="1">
        <f>AT23/AS23</f>
        <v>18.257731958762889</v>
      </c>
    </row>
    <row r="24" spans="1:47" x14ac:dyDescent="0.25">
      <c r="A24" s="1"/>
      <c r="B24" s="2"/>
      <c r="C24" s="1">
        <v>0.28999999999999998</v>
      </c>
      <c r="D24" s="1">
        <v>3.71</v>
      </c>
      <c r="E24" s="1"/>
      <c r="F24" s="1"/>
      <c r="G24" s="1"/>
      <c r="H24" s="3"/>
      <c r="I24" s="3"/>
      <c r="J24" s="2"/>
      <c r="K24" s="1">
        <v>2.0499999999999998</v>
      </c>
      <c r="L24" s="1">
        <v>7.45</v>
      </c>
      <c r="M24" s="1"/>
      <c r="N24" s="1"/>
      <c r="O24" s="1"/>
      <c r="P24" s="3"/>
      <c r="Q24" s="3"/>
      <c r="R24" s="2"/>
      <c r="S24" s="3">
        <v>0.38</v>
      </c>
      <c r="T24" s="3">
        <v>4.8899999999999997</v>
      </c>
      <c r="U24" s="1"/>
      <c r="V24" s="1"/>
      <c r="W24" s="1"/>
      <c r="X24" s="1"/>
      <c r="Y24" s="3"/>
      <c r="Z24" s="3"/>
      <c r="AA24" s="3">
        <v>1.85</v>
      </c>
      <c r="AB24" s="3">
        <v>9.1300000000000008</v>
      </c>
      <c r="AC24" s="1"/>
      <c r="AD24" s="1"/>
      <c r="AE24" s="1"/>
      <c r="AF24" s="1"/>
      <c r="AG24" s="3"/>
      <c r="AH24" s="3"/>
      <c r="AI24" s="3">
        <v>0.18</v>
      </c>
      <c r="AJ24" s="3">
        <v>3.11</v>
      </c>
      <c r="AK24" s="1"/>
      <c r="AL24" s="1"/>
      <c r="AM24" s="1"/>
      <c r="AN24" s="3"/>
      <c r="AO24" s="3"/>
      <c r="AP24" s="3"/>
      <c r="AQ24" s="3">
        <v>0.08</v>
      </c>
      <c r="AR24" s="3"/>
      <c r="AS24" s="1"/>
      <c r="AT24" s="1"/>
      <c r="AU24" s="1"/>
    </row>
    <row r="25" spans="1:47" x14ac:dyDescent="0.25">
      <c r="A25" s="1"/>
      <c r="B25" s="2"/>
      <c r="C25" s="1">
        <v>1.61</v>
      </c>
      <c r="D25" s="1"/>
      <c r="E25" s="1"/>
      <c r="F25" s="1"/>
      <c r="G25" s="1"/>
      <c r="H25" s="3"/>
      <c r="I25" s="1"/>
      <c r="J25" s="2"/>
      <c r="K25" s="1">
        <v>1.42</v>
      </c>
      <c r="L25" s="1">
        <v>8.93</v>
      </c>
      <c r="M25" s="1"/>
      <c r="N25" s="1"/>
      <c r="O25" s="1"/>
      <c r="P25" s="3"/>
      <c r="Q25" s="3"/>
      <c r="R25" s="2"/>
      <c r="S25" s="3"/>
      <c r="T25" s="3"/>
      <c r="U25" s="1"/>
      <c r="V25" s="1"/>
      <c r="W25" s="1"/>
      <c r="X25" s="1"/>
      <c r="Y25" s="3"/>
      <c r="Z25" s="3"/>
      <c r="AA25" s="3"/>
      <c r="AB25" s="3"/>
      <c r="AC25" s="1"/>
      <c r="AD25" s="1"/>
      <c r="AE25" s="1"/>
      <c r="AF25" s="1"/>
      <c r="AG25" s="3"/>
      <c r="AH25" s="3"/>
      <c r="AI25" s="3"/>
      <c r="AJ25" s="3">
        <v>5.66</v>
      </c>
      <c r="AK25" s="1"/>
      <c r="AL25" s="1"/>
      <c r="AM25" s="1"/>
      <c r="AN25" s="3"/>
      <c r="AO25" s="3"/>
      <c r="AP25" s="3"/>
      <c r="AQ25" s="3">
        <v>0.17</v>
      </c>
      <c r="AR25" s="3">
        <v>3.5</v>
      </c>
      <c r="AS25" s="1"/>
      <c r="AT25" s="1"/>
      <c r="AU25" s="1"/>
    </row>
    <row r="26" spans="1:47" x14ac:dyDescent="0.25">
      <c r="A26" s="1"/>
      <c r="B26" s="2"/>
      <c r="C26" s="1"/>
      <c r="D26" s="1">
        <v>5.31</v>
      </c>
      <c r="E26" s="1"/>
      <c r="F26" s="1"/>
      <c r="G26" s="1"/>
      <c r="H26" s="3"/>
      <c r="I26" s="1"/>
      <c r="J26" s="2"/>
      <c r="K26" s="1">
        <v>1.84</v>
      </c>
      <c r="L26" s="1"/>
      <c r="M26" s="1"/>
      <c r="N26" s="1"/>
      <c r="O26" s="1"/>
      <c r="P26" s="3"/>
      <c r="Q26" s="3"/>
      <c r="R26" s="2"/>
      <c r="S26" s="3">
        <v>1.28</v>
      </c>
      <c r="T26" s="3">
        <v>5.34</v>
      </c>
      <c r="U26" s="1"/>
      <c r="V26" s="1"/>
      <c r="W26" s="1"/>
      <c r="X26" s="1"/>
      <c r="Y26" s="3"/>
      <c r="Z26" s="3"/>
      <c r="AA26" s="3">
        <v>1.96</v>
      </c>
      <c r="AB26" s="3"/>
      <c r="AC26" s="1"/>
      <c r="AD26" s="1"/>
      <c r="AE26" s="1"/>
      <c r="AF26" s="1"/>
      <c r="AG26" s="3"/>
      <c r="AH26" s="3"/>
      <c r="AI26" s="3"/>
      <c r="AJ26" s="3"/>
      <c r="AK26" s="1"/>
      <c r="AL26" s="1"/>
      <c r="AM26" s="1"/>
      <c r="AN26" s="3"/>
      <c r="AO26" s="3"/>
      <c r="AP26" s="3"/>
      <c r="AQ26" s="3"/>
      <c r="AR26" s="3"/>
      <c r="AS26" s="1"/>
      <c r="AT26" s="1"/>
      <c r="AU26" s="1"/>
    </row>
    <row r="27" spans="1:47" x14ac:dyDescent="0.25">
      <c r="A27" s="1"/>
      <c r="B27" s="2"/>
      <c r="C27" s="1"/>
      <c r="D27" s="1"/>
      <c r="E27" s="1"/>
      <c r="F27" s="1"/>
      <c r="G27" s="1"/>
      <c r="H27" s="3"/>
      <c r="I27" s="1"/>
      <c r="J27" s="2"/>
      <c r="K27" s="1"/>
      <c r="L27" s="3">
        <v>8.52</v>
      </c>
      <c r="M27" s="1"/>
      <c r="N27" s="1"/>
      <c r="O27" s="1"/>
      <c r="P27" s="3"/>
      <c r="Q27" s="3"/>
      <c r="R27" s="2"/>
      <c r="S27" s="3">
        <v>0.92</v>
      </c>
      <c r="T27" s="3">
        <v>7.33</v>
      </c>
      <c r="U27" s="1"/>
      <c r="V27" s="1"/>
      <c r="W27" s="1"/>
      <c r="X27" s="1"/>
      <c r="Y27" s="3"/>
      <c r="Z27" s="3"/>
      <c r="AA27" s="3"/>
      <c r="AB27" s="3">
        <v>6.65</v>
      </c>
      <c r="AC27" s="1"/>
      <c r="AD27" s="1"/>
      <c r="AE27" s="1"/>
      <c r="AF27" s="1"/>
      <c r="AG27" s="3"/>
      <c r="AH27" s="3"/>
      <c r="AI27" s="3">
        <v>0.15</v>
      </c>
      <c r="AJ27" s="3">
        <v>3.02</v>
      </c>
      <c r="AK27" s="1"/>
      <c r="AL27" s="1"/>
      <c r="AM27" s="1"/>
      <c r="AN27" s="3"/>
      <c r="AO27" s="3"/>
      <c r="AP27" s="3"/>
      <c r="AQ27" s="3"/>
      <c r="AR27" s="3">
        <v>6.92</v>
      </c>
      <c r="AS27" s="1"/>
      <c r="AT27" s="1"/>
      <c r="AU27" s="1"/>
    </row>
    <row r="28" spans="1:47" x14ac:dyDescent="0.25">
      <c r="A28" s="4"/>
      <c r="B28" s="4"/>
      <c r="C28" s="4"/>
      <c r="D28" s="4"/>
      <c r="E28" s="4"/>
      <c r="F28" s="4"/>
      <c r="G28" s="4"/>
      <c r="H28" s="6"/>
      <c r="I28" s="4" t="s">
        <v>15</v>
      </c>
      <c r="J28" s="6"/>
      <c r="K28" s="6"/>
      <c r="L28" s="6"/>
      <c r="M28" s="4">
        <f>AVERAGE(K28:K32)</f>
        <v>0.19666666666666666</v>
      </c>
      <c r="N28" s="4">
        <f>AVERAGE(L28:L32)</f>
        <v>6.793333333333333</v>
      </c>
      <c r="O28" s="4">
        <f>N28/M28</f>
        <v>34.542372881355931</v>
      </c>
      <c r="P28" s="6"/>
      <c r="Q28" s="6" t="s">
        <v>11</v>
      </c>
      <c r="R28" s="6"/>
      <c r="S28" s="6">
        <v>4.22</v>
      </c>
      <c r="T28" s="6"/>
      <c r="U28" s="4">
        <f>AVERAGE(S28:S32)</f>
        <v>3.1866666666666661</v>
      </c>
      <c r="V28" s="4">
        <f>AVERAGE(T28:T32)</f>
        <v>11.363333333333335</v>
      </c>
      <c r="W28" s="4">
        <f>V28/U28</f>
        <v>3.5658995815899592</v>
      </c>
      <c r="X28" s="4"/>
      <c r="Y28" s="6" t="s">
        <v>32</v>
      </c>
      <c r="Z28" s="6"/>
      <c r="AA28" s="6">
        <v>0.34</v>
      </c>
      <c r="AB28" s="6">
        <v>5.14</v>
      </c>
      <c r="AC28" s="4">
        <v>0.3033333333333334</v>
      </c>
      <c r="AD28" s="4">
        <v>5.296666666666666</v>
      </c>
      <c r="AE28" s="4">
        <v>17.461538461538456</v>
      </c>
      <c r="AF28" s="4"/>
      <c r="AG28" s="6" t="s">
        <v>29</v>
      </c>
      <c r="AH28" s="6"/>
      <c r="AI28" s="6">
        <v>0.55000000000000004</v>
      </c>
      <c r="AJ28" s="6">
        <v>5.19</v>
      </c>
      <c r="AK28" s="4">
        <v>1.1266666666666667</v>
      </c>
      <c r="AL28" s="4">
        <v>5.1733333333333329</v>
      </c>
      <c r="AM28" s="4">
        <v>4.5917159763313604</v>
      </c>
      <c r="AN28" s="6"/>
      <c r="AO28" s="6" t="s">
        <v>34</v>
      </c>
      <c r="AP28" s="6"/>
      <c r="AQ28" s="6">
        <v>0.36</v>
      </c>
      <c r="AR28" s="6">
        <v>4.2699999999999996</v>
      </c>
      <c r="AS28" s="4">
        <f>AVERAGE(AQ28:AQ32)</f>
        <v>0.89999999999999991</v>
      </c>
      <c r="AT28" s="4">
        <f>AVERAGE(AR28:AR32)</f>
        <v>3.9866666666666668</v>
      </c>
      <c r="AU28" s="4">
        <f>AT28/AS28</f>
        <v>4.4296296296296305</v>
      </c>
    </row>
    <row r="29" spans="1:47" x14ac:dyDescent="0.25">
      <c r="A29" s="4"/>
      <c r="B29" s="4"/>
      <c r="C29" s="4"/>
      <c r="D29" s="4"/>
      <c r="E29" s="4"/>
      <c r="F29" s="4"/>
      <c r="G29" s="4"/>
      <c r="H29" s="6"/>
      <c r="I29" s="6"/>
      <c r="J29" s="6"/>
      <c r="K29" s="6">
        <v>0.19</v>
      </c>
      <c r="L29" s="6"/>
      <c r="M29" s="6"/>
      <c r="N29" s="6"/>
      <c r="O29" s="6"/>
      <c r="P29" s="6"/>
      <c r="Q29" s="6"/>
      <c r="R29" s="6"/>
      <c r="S29" s="6">
        <v>3.42</v>
      </c>
      <c r="T29" s="6">
        <v>8.32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1.54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4"/>
      <c r="B30" s="4"/>
      <c r="C30" s="4"/>
      <c r="D30" s="4"/>
      <c r="E30" s="4"/>
      <c r="F30" s="4"/>
      <c r="G30" s="4"/>
      <c r="H30" s="6"/>
      <c r="I30" s="6"/>
      <c r="J30" s="6"/>
      <c r="K30" s="6">
        <v>0.18</v>
      </c>
      <c r="L30" s="4">
        <v>6.98</v>
      </c>
      <c r="M30" s="6"/>
      <c r="N30" s="6"/>
      <c r="O30" s="6"/>
      <c r="P30" s="6"/>
      <c r="Q30" s="6"/>
      <c r="R30" s="6"/>
      <c r="S30" s="6"/>
      <c r="T30" s="6">
        <v>13.1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3.9</v>
      </c>
      <c r="AS30" s="6"/>
      <c r="AT30" s="6"/>
      <c r="AU30" s="6"/>
    </row>
    <row r="31" spans="1:47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>
        <v>0.22</v>
      </c>
      <c r="L31" s="6">
        <v>6.1</v>
      </c>
      <c r="M31" s="4"/>
      <c r="N31" s="4"/>
      <c r="O31" s="4"/>
      <c r="P31" s="6"/>
      <c r="Q31" s="4"/>
      <c r="R31" s="4"/>
      <c r="S31" s="4"/>
      <c r="T31" s="4"/>
      <c r="U31" s="4"/>
      <c r="V31" s="4"/>
      <c r="W31" s="4"/>
      <c r="X31" s="4"/>
      <c r="Y31" s="4"/>
      <c r="Z31" s="4"/>
      <c r="AA31" s="4">
        <v>0.23</v>
      </c>
      <c r="AB31" s="4">
        <v>4.51</v>
      </c>
      <c r="AC31" s="4"/>
      <c r="AD31" s="4"/>
      <c r="AE31" s="4"/>
      <c r="AF31" s="4"/>
      <c r="AG31" s="6"/>
      <c r="AH31" s="6"/>
      <c r="AI31" s="6">
        <v>1.29</v>
      </c>
      <c r="AJ31" s="6">
        <v>5.28</v>
      </c>
      <c r="AK31" s="6"/>
      <c r="AL31" s="6"/>
      <c r="AM31" s="6"/>
      <c r="AN31" s="6"/>
      <c r="AO31" s="6"/>
      <c r="AP31" s="6"/>
      <c r="AQ31" s="6">
        <v>1.52</v>
      </c>
      <c r="AR31" s="6">
        <v>3.79</v>
      </c>
      <c r="AS31" s="6"/>
      <c r="AT31" s="6"/>
      <c r="AU31" s="6"/>
    </row>
    <row r="32" spans="1:47" x14ac:dyDescent="0.25">
      <c r="A32" s="4"/>
      <c r="B32" s="5"/>
      <c r="C32" s="4"/>
      <c r="D32" s="4"/>
      <c r="E32" s="4"/>
      <c r="F32" s="4"/>
      <c r="G32" s="4"/>
      <c r="H32" s="6"/>
      <c r="I32" s="6"/>
      <c r="J32" s="5"/>
      <c r="K32" s="6"/>
      <c r="L32" s="4">
        <v>7.3</v>
      </c>
      <c r="M32" s="4"/>
      <c r="N32" s="4"/>
      <c r="O32" s="4"/>
      <c r="P32" s="6"/>
      <c r="Q32" s="6"/>
      <c r="R32" s="5"/>
      <c r="S32" s="6">
        <v>1.92</v>
      </c>
      <c r="T32" s="6">
        <v>12.67</v>
      </c>
      <c r="U32" s="4"/>
      <c r="V32" s="4"/>
      <c r="W32" s="4"/>
      <c r="X32" s="4"/>
      <c r="Y32" s="6"/>
      <c r="Z32" s="5"/>
      <c r="AA32" s="6">
        <v>0.34</v>
      </c>
      <c r="AB32" s="6">
        <v>6.24</v>
      </c>
      <c r="AC32" s="4"/>
      <c r="AD32" s="4"/>
      <c r="AE32" s="4"/>
      <c r="AF32" s="4"/>
      <c r="AG32" s="6"/>
      <c r="AH32" s="6"/>
      <c r="AI32" s="6"/>
      <c r="AJ32" s="6">
        <v>5.05</v>
      </c>
      <c r="AK32" s="6"/>
      <c r="AL32" s="6"/>
      <c r="AM32" s="6"/>
      <c r="AN32" s="6"/>
      <c r="AO32" s="6"/>
      <c r="AP32" s="6"/>
      <c r="AQ32" s="6">
        <v>0.82</v>
      </c>
      <c r="AR32" s="6"/>
      <c r="AS32" s="6"/>
      <c r="AT32" s="6"/>
      <c r="AU32" s="6"/>
    </row>
    <row r="37" spans="2:5" x14ac:dyDescent="0.25">
      <c r="B37" s="1" t="s">
        <v>6</v>
      </c>
      <c r="C37" s="1" t="s">
        <v>3</v>
      </c>
      <c r="D37" s="1" t="s">
        <v>4</v>
      </c>
      <c r="E37" s="1" t="s">
        <v>5</v>
      </c>
    </row>
    <row r="38" spans="2:5" x14ac:dyDescent="0.25">
      <c r="B38" s="1" t="s">
        <v>12</v>
      </c>
      <c r="C38" s="1">
        <v>0.39999999999999997</v>
      </c>
      <c r="D38" s="1">
        <v>6.0866666666666669</v>
      </c>
      <c r="E38" s="1">
        <v>15.216666666666669</v>
      </c>
    </row>
    <row r="39" spans="2:5" x14ac:dyDescent="0.25">
      <c r="B39" s="4" t="s">
        <v>13</v>
      </c>
      <c r="C39" s="4">
        <v>0.96666666666666667</v>
      </c>
      <c r="D39" s="4">
        <v>5.5200000000000005</v>
      </c>
      <c r="E39" s="4">
        <v>5.7103448275862076</v>
      </c>
    </row>
    <row r="40" spans="2:5" x14ac:dyDescent="0.25">
      <c r="B40" s="1" t="s">
        <v>14</v>
      </c>
      <c r="C40" s="1">
        <v>0.92666666666666675</v>
      </c>
      <c r="D40" s="1">
        <v>8.2700000000000014</v>
      </c>
      <c r="E40" s="1">
        <v>8.9244604316546763</v>
      </c>
    </row>
    <row r="41" spans="2:5" x14ac:dyDescent="0.25">
      <c r="B41" s="1" t="s">
        <v>15</v>
      </c>
      <c r="C41" s="1">
        <v>1.7699999999999998</v>
      </c>
      <c r="D41" s="1">
        <v>8.2999999999999989</v>
      </c>
      <c r="E41" s="1">
        <v>4.6892655367231635</v>
      </c>
    </row>
    <row r="42" spans="2:5" x14ac:dyDescent="0.25">
      <c r="B42" s="4" t="s">
        <v>16</v>
      </c>
      <c r="C42" s="4">
        <v>0.19666666666666666</v>
      </c>
      <c r="D42" s="4">
        <v>6.793333333333333</v>
      </c>
      <c r="E42" s="4">
        <v>34.542372881355931</v>
      </c>
    </row>
    <row r="43" spans="2:5" x14ac:dyDescent="0.25">
      <c r="B43" s="4" t="s">
        <v>7</v>
      </c>
      <c r="C43" s="4">
        <v>0.82666666666666666</v>
      </c>
      <c r="D43" s="4">
        <v>7.5966666666666667</v>
      </c>
      <c r="E43" s="4">
        <v>9.189516129032258</v>
      </c>
    </row>
    <row r="45" spans="2:5" x14ac:dyDescent="0.25">
      <c r="B45" s="1" t="s">
        <v>9</v>
      </c>
      <c r="C45" s="1">
        <v>0.7466666666666667</v>
      </c>
      <c r="D45" s="1">
        <v>5.69</v>
      </c>
      <c r="E45" s="1">
        <v>7.6205357142857144</v>
      </c>
    </row>
    <row r="46" spans="2:5" x14ac:dyDescent="0.25">
      <c r="B46" s="3" t="s">
        <v>10</v>
      </c>
      <c r="C46" s="1">
        <v>0.86</v>
      </c>
      <c r="D46" s="1">
        <v>5.8533333333333344</v>
      </c>
      <c r="E46" s="1">
        <v>6.8062015503875983</v>
      </c>
    </row>
    <row r="47" spans="2:5" x14ac:dyDescent="0.25">
      <c r="B47" s="6" t="s">
        <v>11</v>
      </c>
      <c r="C47" s="4">
        <v>3.1866666666666661</v>
      </c>
      <c r="D47" s="4">
        <v>11.363333333333335</v>
      </c>
      <c r="E47" s="4">
        <v>3.5658995815899592</v>
      </c>
    </row>
    <row r="48" spans="2:5" x14ac:dyDescent="0.25">
      <c r="B48" s="1" t="s">
        <v>21</v>
      </c>
      <c r="C48" s="1">
        <v>3.0466666666666669</v>
      </c>
      <c r="D48" s="1">
        <v>8.3600000000000012</v>
      </c>
      <c r="E48" s="1">
        <v>2.7439824945295408</v>
      </c>
    </row>
    <row r="49" spans="2:5" x14ac:dyDescent="0.25">
      <c r="B49" s="4" t="s">
        <v>22</v>
      </c>
      <c r="C49" s="4">
        <v>0.10666666666666667</v>
      </c>
      <c r="D49" s="4">
        <v>7.0066666666666668</v>
      </c>
      <c r="E49" s="4">
        <v>65.6875</v>
      </c>
    </row>
    <row r="50" spans="2:5" x14ac:dyDescent="0.25">
      <c r="B50" s="1" t="s">
        <v>23</v>
      </c>
      <c r="C50" s="1">
        <v>0.16</v>
      </c>
      <c r="D50" s="1">
        <v>6.4733333333333336</v>
      </c>
      <c r="E50" s="1">
        <v>40.458333333333336</v>
      </c>
    </row>
    <row r="51" spans="2:5" x14ac:dyDescent="0.25">
      <c r="B51" s="4" t="s">
        <v>24</v>
      </c>
      <c r="C51" s="4">
        <v>0.16333333333333333</v>
      </c>
      <c r="D51" s="4">
        <v>4.9933333333333332</v>
      </c>
      <c r="E51" s="4">
        <v>30.571428571428569</v>
      </c>
    </row>
    <row r="52" spans="2:5" x14ac:dyDescent="0.25">
      <c r="B52" s="3" t="s">
        <v>17</v>
      </c>
      <c r="C52" s="1">
        <v>0.76000000000000012</v>
      </c>
      <c r="D52" s="1">
        <v>7.9899999999999993</v>
      </c>
      <c r="E52" s="1">
        <v>10.513157894736839</v>
      </c>
    </row>
    <row r="53" spans="2:5" x14ac:dyDescent="0.25">
      <c r="B53" s="6" t="s">
        <v>18</v>
      </c>
      <c r="C53" s="4">
        <v>0.73999999999999988</v>
      </c>
      <c r="D53" s="4">
        <v>11.31</v>
      </c>
      <c r="E53" s="4">
        <v>15.283783783783788</v>
      </c>
    </row>
    <row r="54" spans="2:5" x14ac:dyDescent="0.25">
      <c r="B54" s="3" t="s">
        <v>19</v>
      </c>
      <c r="C54" s="1">
        <v>0.46666666666666662</v>
      </c>
      <c r="D54" s="1">
        <v>7.333333333333333</v>
      </c>
      <c r="E54" s="1">
        <v>15.714285714285715</v>
      </c>
    </row>
    <row r="55" spans="2:5" x14ac:dyDescent="0.25">
      <c r="B55" s="6" t="s">
        <v>20</v>
      </c>
      <c r="C55" s="4">
        <v>0.34333333333333332</v>
      </c>
      <c r="D55" s="4">
        <v>5.95</v>
      </c>
      <c r="E55" s="4">
        <v>17.330097087378643</v>
      </c>
    </row>
    <row r="56" spans="2:5" x14ac:dyDescent="0.25">
      <c r="B56" s="3" t="s">
        <v>25</v>
      </c>
      <c r="C56" s="1">
        <v>0.16666666666666666</v>
      </c>
      <c r="D56" s="1">
        <v>3.81</v>
      </c>
      <c r="E56" s="1">
        <v>22.860000000000003</v>
      </c>
    </row>
    <row r="57" spans="2:5" x14ac:dyDescent="0.25">
      <c r="B57" s="6" t="s">
        <v>26</v>
      </c>
      <c r="C57" s="4">
        <v>0.62</v>
      </c>
      <c r="D57" s="4">
        <v>7.8766666666666678</v>
      </c>
      <c r="E57" s="4">
        <v>12.70430107526882</v>
      </c>
    </row>
    <row r="58" spans="2:5" x14ac:dyDescent="0.25">
      <c r="B58" s="3" t="s">
        <v>27</v>
      </c>
      <c r="C58" s="1">
        <v>0.29333333333333339</v>
      </c>
      <c r="D58" s="1">
        <v>5.34</v>
      </c>
      <c r="E58" s="1">
        <v>18.20454545454545</v>
      </c>
    </row>
    <row r="59" spans="2:5" x14ac:dyDescent="0.25">
      <c r="B59" s="3" t="s">
        <v>28</v>
      </c>
      <c r="C59" s="1">
        <v>0.19666666666666666</v>
      </c>
      <c r="D59" s="1">
        <v>3.9299999999999997</v>
      </c>
      <c r="E59" s="1">
        <v>19.983050847457626</v>
      </c>
    </row>
    <row r="60" spans="2:5" x14ac:dyDescent="0.25">
      <c r="B60" s="6" t="s">
        <v>29</v>
      </c>
      <c r="C60" s="4">
        <v>1.1266666666666667</v>
      </c>
      <c r="D60" s="4">
        <v>5.1733333333333329</v>
      </c>
      <c r="E60" s="4">
        <v>4.5917159763313604</v>
      </c>
    </row>
    <row r="61" spans="2:5" x14ac:dyDescent="0.25">
      <c r="B61" s="6" t="s">
        <v>30</v>
      </c>
      <c r="C61" s="4">
        <v>0.43</v>
      </c>
      <c r="D61" s="4">
        <v>6.919999999999999</v>
      </c>
      <c r="E61" s="4">
        <v>16.09302325581395</v>
      </c>
    </row>
    <row r="62" spans="2:5" x14ac:dyDescent="0.25">
      <c r="B62" s="3" t="s">
        <v>31</v>
      </c>
      <c r="C62" s="1">
        <v>1.8800000000000001</v>
      </c>
      <c r="D62" s="1">
        <v>8.31</v>
      </c>
      <c r="E62" s="1">
        <v>4.4202127659574471</v>
      </c>
    </row>
    <row r="63" spans="2:5" x14ac:dyDescent="0.25">
      <c r="B63" s="6" t="s">
        <v>32</v>
      </c>
      <c r="C63" s="4">
        <v>0.3033333333333334</v>
      </c>
      <c r="D63" s="4">
        <v>5.296666666666666</v>
      </c>
      <c r="E63" s="4">
        <v>17.461538461538456</v>
      </c>
    </row>
    <row r="64" spans="2:5" x14ac:dyDescent="0.25">
      <c r="B64" s="3" t="s">
        <v>33</v>
      </c>
      <c r="C64" s="1">
        <v>0.32333333333333331</v>
      </c>
      <c r="D64" s="1">
        <v>5.9033333333333333</v>
      </c>
      <c r="E64" s="1">
        <v>18.257731958762889</v>
      </c>
    </row>
    <row r="65" spans="2:5" x14ac:dyDescent="0.25">
      <c r="B65" s="6" t="s">
        <v>34</v>
      </c>
      <c r="C65" s="4">
        <v>0.89999999999999991</v>
      </c>
      <c r="D65" s="4">
        <v>3.9866666666666668</v>
      </c>
      <c r="E65" s="4">
        <v>4.4296296296296305</v>
      </c>
    </row>
    <row r="66" spans="2:5" x14ac:dyDescent="0.25">
      <c r="B66" s="3" t="s">
        <v>35</v>
      </c>
      <c r="C66" s="1">
        <v>0.17</v>
      </c>
      <c r="D66" s="1">
        <v>6.2433333333333332</v>
      </c>
      <c r="E66" s="1">
        <v>36.725490196078425</v>
      </c>
    </row>
    <row r="67" spans="2:5" x14ac:dyDescent="0.25">
      <c r="B67" s="6" t="s">
        <v>36</v>
      </c>
      <c r="C67" s="4">
        <v>0.31666666666666665</v>
      </c>
      <c r="D67" s="4">
        <v>7.2633333333333328</v>
      </c>
      <c r="E67" s="4">
        <v>22.936842105263157</v>
      </c>
    </row>
    <row r="68" spans="2:5" x14ac:dyDescent="0.25">
      <c r="B68" s="3" t="s">
        <v>37</v>
      </c>
      <c r="C68" s="1">
        <v>2.206666666666667</v>
      </c>
      <c r="D68" s="1">
        <v>1.83</v>
      </c>
      <c r="E68" s="1">
        <v>0.82930513595166155</v>
      </c>
    </row>
    <row r="69" spans="2:5" x14ac:dyDescent="0.25">
      <c r="B69" s="6" t="s">
        <v>38</v>
      </c>
      <c r="C69" s="4">
        <v>1.0866666666666667</v>
      </c>
      <c r="D69" s="4">
        <v>5.9333333333333336</v>
      </c>
      <c r="E69" s="4">
        <v>5.4601226993865035</v>
      </c>
    </row>
    <row r="70" spans="2:5" x14ac:dyDescent="0.25">
      <c r="B70" s="3" t="s">
        <v>39</v>
      </c>
      <c r="C70" s="1">
        <v>1.4533333333333331</v>
      </c>
      <c r="D70" s="1">
        <v>6.5900000000000007</v>
      </c>
      <c r="E70" s="1">
        <v>4.5344036697247718</v>
      </c>
    </row>
    <row r="71" spans="2:5" x14ac:dyDescent="0.25">
      <c r="B71" s="6" t="s">
        <v>40</v>
      </c>
      <c r="C71" s="4">
        <v>0.18000000000000002</v>
      </c>
      <c r="D71" s="4">
        <v>2.2633333333333332</v>
      </c>
      <c r="E71" s="4">
        <v>12.574074074074073</v>
      </c>
    </row>
    <row r="72" spans="2:5" x14ac:dyDescent="0.25">
      <c r="B72" s="3" t="s">
        <v>41</v>
      </c>
      <c r="C72" s="1">
        <v>0.60333333333333328</v>
      </c>
      <c r="D72" s="1">
        <v>4.05</v>
      </c>
      <c r="E72" s="1">
        <v>6.7127071823204423</v>
      </c>
    </row>
    <row r="73" spans="2:5" x14ac:dyDescent="0.25">
      <c r="B73" s="6" t="s">
        <v>42</v>
      </c>
      <c r="C73" s="4">
        <v>0.15</v>
      </c>
      <c r="D73" s="4">
        <v>3.11</v>
      </c>
      <c r="E73" s="4">
        <v>20.733333333333334</v>
      </c>
    </row>
  </sheetData>
  <mergeCells count="6">
    <mergeCell ref="AO1:AU1"/>
    <mergeCell ref="A1:G1"/>
    <mergeCell ref="Y1:AE1"/>
    <mergeCell ref="AG1:AM1"/>
    <mergeCell ref="I1:O1"/>
    <mergeCell ref="Q1:W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E68F-55C0-B749-ADD1-1413E85BFD8B}">
  <dimension ref="A1:AU74"/>
  <sheetViews>
    <sheetView topLeftCell="A27" workbookViewId="0">
      <selection activeCell="C38" sqref="C38:E74"/>
    </sheetView>
  </sheetViews>
  <sheetFormatPr defaultColWidth="11" defaultRowHeight="15.75" x14ac:dyDescent="0.25"/>
  <sheetData>
    <row r="1" spans="1:47" x14ac:dyDescent="0.25">
      <c r="A1" s="54" t="s">
        <v>162</v>
      </c>
      <c r="B1" s="54"/>
      <c r="C1" s="54"/>
      <c r="D1" s="54"/>
      <c r="E1" s="54"/>
      <c r="F1" s="54"/>
      <c r="G1" s="54"/>
      <c r="H1" s="3"/>
      <c r="I1" s="54" t="s">
        <v>163</v>
      </c>
      <c r="J1" s="54"/>
      <c r="K1" s="54"/>
      <c r="L1" s="54"/>
      <c r="M1" s="54"/>
      <c r="N1" s="54"/>
      <c r="O1" s="54"/>
      <c r="P1" s="3"/>
      <c r="Q1" s="54" t="s">
        <v>164</v>
      </c>
      <c r="R1" s="54"/>
      <c r="S1" s="54"/>
      <c r="T1" s="54"/>
      <c r="U1" s="54"/>
      <c r="V1" s="54"/>
      <c r="W1" s="54"/>
      <c r="X1" s="3"/>
      <c r="Y1" s="54" t="s">
        <v>165</v>
      </c>
      <c r="Z1" s="54"/>
      <c r="AA1" s="54"/>
      <c r="AB1" s="54"/>
      <c r="AC1" s="54"/>
      <c r="AD1" s="54"/>
      <c r="AE1" s="54"/>
      <c r="AF1" s="3"/>
      <c r="AG1" s="54" t="s">
        <v>166</v>
      </c>
      <c r="AH1" s="54"/>
      <c r="AI1" s="54"/>
      <c r="AJ1" s="54"/>
      <c r="AK1" s="54"/>
      <c r="AL1" s="54"/>
      <c r="AM1" s="54"/>
      <c r="AN1" s="3"/>
      <c r="AO1" s="54" t="s">
        <v>167</v>
      </c>
      <c r="AP1" s="54"/>
      <c r="AQ1" s="54"/>
      <c r="AR1" s="54"/>
      <c r="AS1" s="54"/>
      <c r="AT1" s="54"/>
      <c r="AU1" s="54"/>
    </row>
    <row r="2" spans="1:47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"/>
      <c r="I2" s="1" t="s">
        <v>6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3"/>
      <c r="Q2" s="1" t="s">
        <v>6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3"/>
      <c r="Y2" s="1" t="s">
        <v>6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3"/>
      <c r="AG2" s="1" t="s">
        <v>6</v>
      </c>
      <c r="AH2" s="1" t="s">
        <v>0</v>
      </c>
      <c r="AI2" s="1" t="s">
        <v>1</v>
      </c>
      <c r="AJ2" s="1" t="s">
        <v>2</v>
      </c>
      <c r="AK2" s="1" t="s">
        <v>3</v>
      </c>
      <c r="AL2" s="1" t="s">
        <v>4</v>
      </c>
      <c r="AM2" s="1" t="s">
        <v>5</v>
      </c>
      <c r="AN2" s="3"/>
      <c r="AO2" s="1" t="s">
        <v>6</v>
      </c>
      <c r="AP2" s="1" t="s">
        <v>0</v>
      </c>
      <c r="AQ2" s="1" t="s">
        <v>1</v>
      </c>
      <c r="AR2" s="1" t="s">
        <v>2</v>
      </c>
      <c r="AS2" s="1" t="s">
        <v>3</v>
      </c>
      <c r="AT2" s="1" t="s">
        <v>4</v>
      </c>
      <c r="AU2" s="1" t="s">
        <v>5</v>
      </c>
    </row>
    <row r="3" spans="1:47" x14ac:dyDescent="0.25">
      <c r="A3" s="1" t="s">
        <v>12</v>
      </c>
      <c r="B3" s="2">
        <v>45356</v>
      </c>
      <c r="C3" s="1"/>
      <c r="D3" s="1">
        <v>5.88</v>
      </c>
      <c r="E3" s="1">
        <f>AVERAGE(C3:C7)</f>
        <v>4.7166666666666677</v>
      </c>
      <c r="F3" s="1">
        <f>AVERAGE(D3:D7)</f>
        <v>8.2033333333333331</v>
      </c>
      <c r="G3" s="1">
        <f>F3/E3</f>
        <v>1.7392226148409891</v>
      </c>
      <c r="H3" s="3"/>
      <c r="I3" s="1" t="s">
        <v>21</v>
      </c>
      <c r="J3" s="2">
        <v>45348</v>
      </c>
      <c r="K3" s="1">
        <v>4.1900000000000004</v>
      </c>
      <c r="L3" s="1"/>
      <c r="M3" s="1">
        <f>AVERAGE(K3:K7)</f>
        <v>4.0866666666666669</v>
      </c>
      <c r="N3" s="1">
        <f>AVERAGE(L3:L7)</f>
        <v>8.18</v>
      </c>
      <c r="O3" s="1">
        <f>N3/M3</f>
        <v>2.0016313213703096</v>
      </c>
      <c r="P3" s="3"/>
      <c r="Q3" s="3" t="s">
        <v>17</v>
      </c>
      <c r="R3" s="2">
        <v>45351</v>
      </c>
      <c r="S3" s="3">
        <v>4.53</v>
      </c>
      <c r="T3" s="3"/>
      <c r="U3" s="1">
        <f>AVERAGE(S3:S7)</f>
        <v>3.9599999999999995</v>
      </c>
      <c r="V3" s="1">
        <f>AVERAGE(T3:T7)</f>
        <v>9.31</v>
      </c>
      <c r="W3" s="1">
        <f>V3/U3</f>
        <v>2.3510101010101012</v>
      </c>
      <c r="X3" s="3"/>
      <c r="Y3" s="3" t="s">
        <v>25</v>
      </c>
      <c r="Z3" s="2">
        <v>45357</v>
      </c>
      <c r="AA3" s="3">
        <v>5.39</v>
      </c>
      <c r="AB3" s="3"/>
      <c r="AC3" s="1">
        <f>AVERAGE(AA3:AA7)</f>
        <v>5.3733333333333322</v>
      </c>
      <c r="AD3" s="1">
        <f>AVERAGE(AB3:AB7)</f>
        <v>4.2600000000000007</v>
      </c>
      <c r="AE3" s="1">
        <f>AD3/AC3</f>
        <v>0.79280397022332538</v>
      </c>
      <c r="AF3" s="3"/>
      <c r="AG3" s="3" t="s">
        <v>35</v>
      </c>
      <c r="AH3" s="53">
        <v>45359</v>
      </c>
      <c r="AI3" s="3">
        <v>4.8099999999999996</v>
      </c>
      <c r="AJ3" s="3">
        <v>9.4</v>
      </c>
      <c r="AK3" s="1">
        <f>AVERAGE(AI3:AI7)</f>
        <v>5.57</v>
      </c>
      <c r="AL3" s="1">
        <f>AVERAGE(AJ3:AJ7)</f>
        <v>6.6000000000000005</v>
      </c>
      <c r="AM3" s="1">
        <f>AL3/AK3</f>
        <v>1.1849192100538599</v>
      </c>
      <c r="AN3" s="3"/>
      <c r="AO3" s="3" t="s">
        <v>39</v>
      </c>
      <c r="AP3" s="53">
        <v>45352</v>
      </c>
      <c r="AQ3" s="3">
        <v>4.78</v>
      </c>
      <c r="AR3" s="3"/>
      <c r="AS3" s="1">
        <f>AVERAGE(AQ3:AQ7)</f>
        <v>4.72</v>
      </c>
      <c r="AT3" s="1">
        <f>AVERAGE(AR3:AR7)</f>
        <v>6.1833333333333336</v>
      </c>
      <c r="AU3" s="1">
        <f>AT3/AS3</f>
        <v>1.3100282485875707</v>
      </c>
    </row>
    <row r="4" spans="1:47" x14ac:dyDescent="0.25">
      <c r="A4" s="1"/>
      <c r="B4" s="2"/>
      <c r="C4" s="1">
        <v>4.28</v>
      </c>
      <c r="D4" s="1">
        <v>8.91</v>
      </c>
      <c r="E4" s="1"/>
      <c r="F4" s="1"/>
      <c r="G4" s="1"/>
      <c r="H4" s="3"/>
      <c r="I4" s="3"/>
      <c r="J4" s="2"/>
      <c r="K4" s="1">
        <v>3.71</v>
      </c>
      <c r="L4" s="1"/>
      <c r="M4" s="1"/>
      <c r="N4" s="1"/>
      <c r="O4" s="1"/>
      <c r="P4" s="3"/>
      <c r="Q4" s="3"/>
      <c r="R4" s="2"/>
      <c r="S4" s="3"/>
      <c r="T4" s="3"/>
      <c r="U4" s="1"/>
      <c r="V4" s="1"/>
      <c r="W4" s="1"/>
      <c r="X4" s="3"/>
      <c r="Y4" s="3"/>
      <c r="Z4" s="2"/>
      <c r="AA4" s="3"/>
      <c r="AB4" s="3"/>
      <c r="AC4" s="1"/>
      <c r="AD4" s="1"/>
      <c r="AE4" s="1"/>
      <c r="AF4" s="3"/>
      <c r="AG4" s="3"/>
      <c r="AH4" s="3"/>
      <c r="AI4" s="3"/>
      <c r="AJ4" s="3">
        <v>3.78</v>
      </c>
      <c r="AK4" s="1"/>
      <c r="AL4" s="1"/>
      <c r="AM4" s="1"/>
      <c r="AN4" s="3"/>
      <c r="AO4" s="3"/>
      <c r="AP4" s="3"/>
      <c r="AQ4" s="3">
        <v>4.3899999999999997</v>
      </c>
      <c r="AR4" s="3">
        <v>6.92</v>
      </c>
      <c r="AS4" s="1"/>
      <c r="AT4" s="1"/>
      <c r="AU4" s="1"/>
    </row>
    <row r="5" spans="1:47" x14ac:dyDescent="0.25">
      <c r="A5" s="1"/>
      <c r="B5" s="2"/>
      <c r="C5" s="1"/>
      <c r="D5" s="1"/>
      <c r="E5" s="1"/>
      <c r="F5" s="1"/>
      <c r="G5" s="1"/>
      <c r="H5" s="3"/>
      <c r="I5" s="3"/>
      <c r="J5" s="2"/>
      <c r="K5" s="1">
        <v>4.3600000000000003</v>
      </c>
      <c r="L5" s="1">
        <v>7.97</v>
      </c>
      <c r="M5" s="1"/>
      <c r="N5" s="1"/>
      <c r="O5" s="1"/>
      <c r="P5" s="3"/>
      <c r="Q5" s="3"/>
      <c r="R5" s="2"/>
      <c r="S5" s="3"/>
      <c r="T5" s="3">
        <v>9.99</v>
      </c>
      <c r="U5" s="1"/>
      <c r="V5" s="1"/>
      <c r="W5" s="1"/>
      <c r="X5" s="3"/>
      <c r="Y5" s="3"/>
      <c r="Z5" s="2"/>
      <c r="AA5" s="3">
        <v>5.24</v>
      </c>
      <c r="AB5" s="3">
        <v>4.3899999999999997</v>
      </c>
      <c r="AC5" s="1"/>
      <c r="AD5" s="1"/>
      <c r="AE5" s="1"/>
      <c r="AF5" s="3"/>
      <c r="AG5" s="3"/>
      <c r="AH5" s="3"/>
      <c r="AI5" s="3">
        <v>8.49</v>
      </c>
      <c r="AJ5" s="3"/>
      <c r="AK5" s="1"/>
      <c r="AL5" s="1"/>
      <c r="AM5" s="1"/>
      <c r="AN5" s="3"/>
      <c r="AO5" s="3"/>
      <c r="AP5" s="3"/>
      <c r="AQ5" s="3">
        <v>4.99</v>
      </c>
      <c r="AR5" s="3">
        <v>5</v>
      </c>
      <c r="AS5" s="1"/>
      <c r="AT5" s="1"/>
      <c r="AU5" s="1"/>
    </row>
    <row r="6" spans="1:47" x14ac:dyDescent="0.25">
      <c r="A6" s="1"/>
      <c r="B6" s="2"/>
      <c r="C6" s="1">
        <v>4.2300000000000004</v>
      </c>
      <c r="D6" s="1"/>
      <c r="E6" s="1"/>
      <c r="F6" s="1"/>
      <c r="G6" s="1"/>
      <c r="H6" s="3"/>
      <c r="I6" s="3"/>
      <c r="J6" s="2"/>
      <c r="K6" s="1"/>
      <c r="L6" s="1">
        <v>9.3000000000000007</v>
      </c>
      <c r="M6" s="1"/>
      <c r="N6" s="1"/>
      <c r="O6" s="1"/>
      <c r="P6" s="3"/>
      <c r="Q6" s="3"/>
      <c r="R6" s="2"/>
      <c r="S6" s="3">
        <v>4.24</v>
      </c>
      <c r="T6" s="3">
        <v>9.5299999999999994</v>
      </c>
      <c r="U6" s="1"/>
      <c r="V6" s="1"/>
      <c r="W6" s="1"/>
      <c r="X6" s="3"/>
      <c r="Y6" s="3"/>
      <c r="Z6" s="2"/>
      <c r="AA6" s="3">
        <v>5.49</v>
      </c>
      <c r="AB6" s="3">
        <v>3.16</v>
      </c>
      <c r="AC6" s="1"/>
      <c r="AD6" s="1"/>
      <c r="AE6" s="1"/>
      <c r="AF6" s="3"/>
      <c r="AG6" s="3"/>
      <c r="AH6" s="3"/>
      <c r="AI6" s="3"/>
      <c r="AJ6" s="3">
        <v>6.62</v>
      </c>
      <c r="AK6" s="1"/>
      <c r="AL6" s="1"/>
      <c r="AM6" s="1"/>
      <c r="AN6" s="3"/>
      <c r="AO6" s="3"/>
      <c r="AP6" s="3"/>
      <c r="AQ6" s="3"/>
      <c r="AR6" s="3">
        <v>6.63</v>
      </c>
      <c r="AS6" s="1"/>
      <c r="AT6" s="1"/>
      <c r="AU6" s="1"/>
    </row>
    <row r="7" spans="1:47" x14ac:dyDescent="0.25">
      <c r="A7" s="1"/>
      <c r="B7" s="2"/>
      <c r="C7" s="1">
        <v>5.64</v>
      </c>
      <c r="D7" s="1">
        <v>9.82</v>
      </c>
      <c r="E7" s="1"/>
      <c r="F7" s="1"/>
      <c r="G7" s="1"/>
      <c r="H7" s="3"/>
      <c r="I7" s="1"/>
      <c r="J7" s="2"/>
      <c r="K7" s="1"/>
      <c r="L7" s="1">
        <v>7.27</v>
      </c>
      <c r="M7" s="1"/>
      <c r="N7" s="1"/>
      <c r="O7" s="1"/>
      <c r="P7" s="3"/>
      <c r="Q7" s="3"/>
      <c r="R7" s="2"/>
      <c r="S7" s="3">
        <v>3.11</v>
      </c>
      <c r="T7" s="3">
        <v>8.41</v>
      </c>
      <c r="U7" s="1"/>
      <c r="V7" s="1"/>
      <c r="W7" s="1"/>
      <c r="X7" s="3"/>
      <c r="Y7" s="3"/>
      <c r="Z7" s="2"/>
      <c r="AA7" s="3"/>
      <c r="AB7" s="3">
        <v>5.23</v>
      </c>
      <c r="AC7" s="1"/>
      <c r="AD7" s="1"/>
      <c r="AE7" s="1"/>
      <c r="AF7" s="3"/>
      <c r="AG7" s="3"/>
      <c r="AH7" s="3"/>
      <c r="AI7" s="3">
        <v>3.41</v>
      </c>
      <c r="AJ7" s="3"/>
      <c r="AK7" s="1"/>
      <c r="AL7" s="1"/>
      <c r="AM7" s="1"/>
      <c r="AN7" s="3"/>
      <c r="AO7" s="3"/>
      <c r="AP7" s="3"/>
      <c r="AQ7" s="3"/>
      <c r="AR7" s="3"/>
      <c r="AS7" s="1"/>
      <c r="AT7" s="1"/>
      <c r="AU7" s="1"/>
    </row>
    <row r="8" spans="1:47" x14ac:dyDescent="0.25">
      <c r="A8" s="4" t="s">
        <v>13</v>
      </c>
      <c r="B8" s="5"/>
      <c r="C8" s="4">
        <v>4.3099999999999996</v>
      </c>
      <c r="D8" s="4">
        <v>7.58</v>
      </c>
      <c r="E8" s="4">
        <f>AVERAGE(C8:C12)</f>
        <v>5.3833333333333329</v>
      </c>
      <c r="F8" s="4">
        <f>AVERAGE(D8:D12)</f>
        <v>6.8999999999999995</v>
      </c>
      <c r="G8" s="4">
        <f>F8/E8</f>
        <v>1.2817337461300309</v>
      </c>
      <c r="H8" s="6"/>
      <c r="I8" s="4" t="s">
        <v>22</v>
      </c>
      <c r="J8" s="5"/>
      <c r="K8" s="4"/>
      <c r="L8" s="4">
        <v>5.28</v>
      </c>
      <c r="M8" s="4">
        <f>AVERAGE(K8:K12)</f>
        <v>3.4633333333333334</v>
      </c>
      <c r="N8" s="4">
        <f>AVERAGE(L8:L12)</f>
        <v>2.9833333333333329</v>
      </c>
      <c r="O8" s="4">
        <f>N8/M8</f>
        <v>0.8614051973051009</v>
      </c>
      <c r="P8" s="6"/>
      <c r="Q8" s="6" t="s">
        <v>18</v>
      </c>
      <c r="R8" s="5"/>
      <c r="S8" s="6">
        <v>3.1</v>
      </c>
      <c r="T8" s="6">
        <v>7.18</v>
      </c>
      <c r="U8" s="4">
        <f>AVERAGE(S8:S12)</f>
        <v>3.1333333333333333</v>
      </c>
      <c r="V8" s="4">
        <f>AVERAGE(T8:T12)</f>
        <v>6.830000000000001</v>
      </c>
      <c r="W8" s="4">
        <f>V8/U8</f>
        <v>2.1797872340425535</v>
      </c>
      <c r="X8" s="6"/>
      <c r="Y8" s="6" t="s">
        <v>26</v>
      </c>
      <c r="Z8" s="5"/>
      <c r="AA8" s="6"/>
      <c r="AB8" s="6">
        <v>4.92</v>
      </c>
      <c r="AC8" s="4">
        <f>AVERAGE(AA8:AA12)</f>
        <v>4.4333333333333336</v>
      </c>
      <c r="AD8" s="4">
        <f>AVERAGE(AB8:AB12)</f>
        <v>7.2399999999999993</v>
      </c>
      <c r="AE8" s="4">
        <f>AD8/AC8</f>
        <v>1.6330827067669171</v>
      </c>
      <c r="AF8" s="6"/>
      <c r="AG8" s="6" t="s">
        <v>36</v>
      </c>
      <c r="AH8" s="6"/>
      <c r="AI8" s="6">
        <v>3.34</v>
      </c>
      <c r="AJ8" s="6">
        <v>3.74</v>
      </c>
      <c r="AK8" s="4">
        <f>AVERAGE(AI8:AI12)</f>
        <v>3.7899999999999996</v>
      </c>
      <c r="AL8" s="4">
        <f>AVERAGE(AJ8:AJ12)</f>
        <v>5.4633333333333338</v>
      </c>
      <c r="AM8" s="4">
        <f>AL8/AK8</f>
        <v>1.4415127528583995</v>
      </c>
      <c r="AN8" s="6"/>
      <c r="AO8" s="6" t="s">
        <v>40</v>
      </c>
      <c r="AP8" s="6"/>
      <c r="AQ8" s="6"/>
      <c r="AR8" s="6">
        <v>4.7699999999999996</v>
      </c>
      <c r="AS8" s="4">
        <f>AVERAGE(AQ8:AQ12)</f>
        <v>3.66</v>
      </c>
      <c r="AT8" s="4">
        <f>AVERAGE(AR8:AR12)</f>
        <v>4.253333333333333</v>
      </c>
      <c r="AU8" s="4">
        <f>AT8/AS8</f>
        <v>1.1621129326047357</v>
      </c>
    </row>
    <row r="9" spans="1:47" x14ac:dyDescent="0.25">
      <c r="A9" s="4"/>
      <c r="B9" s="5"/>
      <c r="C9" s="4"/>
      <c r="D9" s="4">
        <v>6.66</v>
      </c>
      <c r="E9" s="4"/>
      <c r="F9" s="4"/>
      <c r="G9" s="4"/>
      <c r="H9" s="6"/>
      <c r="I9" s="4"/>
      <c r="J9" s="5"/>
      <c r="K9" s="4">
        <v>3.02</v>
      </c>
      <c r="L9" s="4">
        <v>2.17</v>
      </c>
      <c r="M9" s="4"/>
      <c r="N9" s="4"/>
      <c r="O9" s="4"/>
      <c r="P9" s="6"/>
      <c r="Q9" s="6"/>
      <c r="R9" s="5"/>
      <c r="S9" s="6"/>
      <c r="T9" s="6"/>
      <c r="U9" s="4"/>
      <c r="V9" s="4"/>
      <c r="W9" s="4"/>
      <c r="X9" s="6"/>
      <c r="Y9" s="6"/>
      <c r="Z9" s="5"/>
      <c r="AA9" s="6">
        <v>4.83</v>
      </c>
      <c r="AB9" s="6"/>
      <c r="AC9" s="4"/>
      <c r="AD9" s="4"/>
      <c r="AE9" s="4"/>
      <c r="AF9" s="6"/>
      <c r="AG9" s="6"/>
      <c r="AH9" s="6"/>
      <c r="AI9" s="6">
        <v>4.2699999999999996</v>
      </c>
      <c r="AJ9" s="6">
        <v>6.11</v>
      </c>
      <c r="AK9" s="4"/>
      <c r="AL9" s="4"/>
      <c r="AM9" s="4"/>
      <c r="AN9" s="6"/>
      <c r="AO9" s="6"/>
      <c r="AP9" s="6"/>
      <c r="AQ9" s="6">
        <v>4.6100000000000003</v>
      </c>
      <c r="AR9" s="6"/>
      <c r="AS9" s="4"/>
      <c r="AT9" s="4"/>
      <c r="AU9" s="4"/>
    </row>
    <row r="10" spans="1:47" x14ac:dyDescent="0.25">
      <c r="A10" s="4"/>
      <c r="B10" s="5"/>
      <c r="C10" s="4">
        <v>5.17</v>
      </c>
      <c r="D10" s="4"/>
      <c r="E10" s="4"/>
      <c r="F10" s="4"/>
      <c r="G10" s="4"/>
      <c r="H10" s="6"/>
      <c r="I10" s="4"/>
      <c r="J10" s="5"/>
      <c r="K10" s="4"/>
      <c r="L10" s="4">
        <v>1.5</v>
      </c>
      <c r="M10" s="4"/>
      <c r="N10" s="4"/>
      <c r="O10" s="4"/>
      <c r="P10" s="6"/>
      <c r="Q10" s="6"/>
      <c r="R10" s="5"/>
      <c r="S10" s="6">
        <v>3.98</v>
      </c>
      <c r="T10" s="6">
        <v>7.39</v>
      </c>
      <c r="U10" s="4"/>
      <c r="V10" s="4"/>
      <c r="W10" s="4"/>
      <c r="X10" s="6"/>
      <c r="Y10" s="6"/>
      <c r="Z10" s="5"/>
      <c r="AA10" s="6"/>
      <c r="AB10" s="6">
        <v>6.11</v>
      </c>
      <c r="AC10" s="4"/>
      <c r="AD10" s="4"/>
      <c r="AE10" s="4"/>
      <c r="AF10" s="6"/>
      <c r="AG10" s="6"/>
      <c r="AH10" s="6"/>
      <c r="AI10" s="6"/>
      <c r="AJ10" s="6">
        <v>6.54</v>
      </c>
      <c r="AK10" s="4"/>
      <c r="AL10" s="4"/>
      <c r="AM10" s="4"/>
      <c r="AN10" s="6"/>
      <c r="AO10" s="6"/>
      <c r="AP10" s="6"/>
      <c r="AQ10" s="6">
        <v>3.17</v>
      </c>
      <c r="AR10" s="6">
        <v>6.21</v>
      </c>
      <c r="AS10" s="4"/>
      <c r="AT10" s="4"/>
      <c r="AU10" s="4"/>
    </row>
    <row r="11" spans="1:47" x14ac:dyDescent="0.25">
      <c r="A11" s="4"/>
      <c r="B11" s="5"/>
      <c r="C11" s="4">
        <v>6.67</v>
      </c>
      <c r="D11" s="4"/>
      <c r="E11" s="4"/>
      <c r="F11" s="4"/>
      <c r="G11" s="4"/>
      <c r="H11" s="6"/>
      <c r="I11" s="4"/>
      <c r="J11" s="5"/>
      <c r="K11" s="4">
        <v>3.8</v>
      </c>
      <c r="L11" s="4"/>
      <c r="M11" s="4"/>
      <c r="N11" s="4"/>
      <c r="O11" s="4"/>
      <c r="P11" s="6"/>
      <c r="Q11" s="6"/>
      <c r="R11" s="5"/>
      <c r="S11" s="6"/>
      <c r="T11" s="6">
        <v>5.92</v>
      </c>
      <c r="U11" s="4"/>
      <c r="V11" s="4"/>
      <c r="W11" s="4"/>
      <c r="X11" s="6"/>
      <c r="Y11" s="6"/>
      <c r="Z11" s="5"/>
      <c r="AA11" s="6">
        <v>4.3099999999999996</v>
      </c>
      <c r="AB11" s="6">
        <v>10.69</v>
      </c>
      <c r="AC11" s="4"/>
      <c r="AD11" s="4"/>
      <c r="AE11" s="4"/>
      <c r="AF11" s="6"/>
      <c r="AG11" s="6"/>
      <c r="AH11" s="6"/>
      <c r="AI11" s="6">
        <v>3.76</v>
      </c>
      <c r="AJ11" s="6"/>
      <c r="AK11" s="4"/>
      <c r="AL11" s="4"/>
      <c r="AM11" s="4"/>
      <c r="AN11" s="6"/>
      <c r="AO11" s="6"/>
      <c r="AP11" s="6"/>
      <c r="AQ11" s="6">
        <v>3.2</v>
      </c>
      <c r="AR11" s="6">
        <v>1.78</v>
      </c>
      <c r="AS11" s="4"/>
      <c r="AT11" s="4"/>
      <c r="AU11" s="4"/>
    </row>
    <row r="12" spans="1:47" x14ac:dyDescent="0.25">
      <c r="A12" s="4"/>
      <c r="B12" s="5"/>
      <c r="C12" s="4"/>
      <c r="D12" s="4">
        <v>6.46</v>
      </c>
      <c r="E12" s="4"/>
      <c r="F12" s="4"/>
      <c r="G12" s="4"/>
      <c r="H12" s="6"/>
      <c r="I12" s="4"/>
      <c r="J12" s="5"/>
      <c r="K12" s="4">
        <v>3.57</v>
      </c>
      <c r="L12" s="4"/>
      <c r="M12" s="4"/>
      <c r="N12" s="4"/>
      <c r="O12" s="4"/>
      <c r="P12" s="6"/>
      <c r="Q12" s="6"/>
      <c r="R12" s="5"/>
      <c r="S12" s="6">
        <v>2.3199999999999998</v>
      </c>
      <c r="T12" s="6"/>
      <c r="U12" s="4"/>
      <c r="V12" s="4"/>
      <c r="W12" s="4"/>
      <c r="X12" s="6"/>
      <c r="Y12" s="6"/>
      <c r="Z12" s="5"/>
      <c r="AA12" s="6">
        <v>4.16</v>
      </c>
      <c r="AB12" s="6"/>
      <c r="AC12" s="4"/>
      <c r="AD12" s="4"/>
      <c r="AE12" s="4"/>
      <c r="AF12" s="6"/>
      <c r="AG12" s="6"/>
      <c r="AH12" s="6"/>
      <c r="AI12" s="6"/>
      <c r="AJ12" s="6"/>
      <c r="AK12" s="4"/>
      <c r="AL12" s="4"/>
      <c r="AM12" s="4"/>
      <c r="AN12" s="6"/>
      <c r="AO12" s="6"/>
      <c r="AP12" s="6"/>
      <c r="AQ12" s="6"/>
      <c r="AR12" s="6"/>
      <c r="AS12" s="4"/>
      <c r="AT12" s="4"/>
      <c r="AU12" s="4"/>
    </row>
    <row r="13" spans="1:47" x14ac:dyDescent="0.25">
      <c r="A13" s="1" t="s">
        <v>14</v>
      </c>
      <c r="B13" s="2"/>
      <c r="C13" s="1">
        <v>5.59</v>
      </c>
      <c r="D13" s="1">
        <v>9.83</v>
      </c>
      <c r="E13" s="1">
        <f>AVERAGE(C13:C17)</f>
        <v>4.37</v>
      </c>
      <c r="F13" s="1">
        <f>AVERAGE(D13:D17)</f>
        <v>8.42</v>
      </c>
      <c r="G13" s="1">
        <f>F13/E13</f>
        <v>1.9267734553775744</v>
      </c>
      <c r="H13" s="3"/>
      <c r="I13" s="1" t="s">
        <v>23</v>
      </c>
      <c r="J13" s="2"/>
      <c r="K13" s="1"/>
      <c r="L13" s="1">
        <v>6.09</v>
      </c>
      <c r="M13" s="1">
        <f>AVERAGE(K13:K17)</f>
        <v>3.1866666666666661</v>
      </c>
      <c r="N13" s="1">
        <f>AVERAGE(L13:L17)</f>
        <v>7.9766666666666666</v>
      </c>
      <c r="O13" s="1">
        <f>N13/M13</f>
        <v>2.5031380753138079</v>
      </c>
      <c r="P13" s="3"/>
      <c r="Q13" s="3" t="s">
        <v>19</v>
      </c>
      <c r="R13" s="2"/>
      <c r="S13" s="3">
        <v>4.08</v>
      </c>
      <c r="T13" s="3">
        <v>7.27</v>
      </c>
      <c r="U13" s="1">
        <f>AVERAGE(S13:S17)</f>
        <v>4.1399999999999997</v>
      </c>
      <c r="V13" s="1">
        <f>AVERAGE(T13:T17)</f>
        <v>7.13</v>
      </c>
      <c r="W13" s="1">
        <f>V13/U13</f>
        <v>1.7222222222222223</v>
      </c>
      <c r="X13" s="3"/>
      <c r="Y13" s="3" t="s">
        <v>27</v>
      </c>
      <c r="Z13" s="2"/>
      <c r="AA13" s="3">
        <v>3.42</v>
      </c>
      <c r="AB13" s="3">
        <v>6.06</v>
      </c>
      <c r="AC13" s="1">
        <f>AVERAGE(AA13:AA17)</f>
        <v>4.41</v>
      </c>
      <c r="AD13" s="1">
        <f>AVERAGE(AB13:AB17)</f>
        <v>7.5933333333333337</v>
      </c>
      <c r="AE13" s="1">
        <f>AD13/AC13</f>
        <v>1.7218442932728648</v>
      </c>
      <c r="AF13" s="3"/>
      <c r="AG13" s="3" t="s">
        <v>37</v>
      </c>
      <c r="AH13" s="3"/>
      <c r="AI13" s="3"/>
      <c r="AJ13" s="3">
        <v>3.95</v>
      </c>
      <c r="AK13" s="1">
        <f>AVERAGE(AI13:AI17)</f>
        <v>5.15</v>
      </c>
      <c r="AL13" s="1">
        <f>AVERAGE(AJ13:AJ17)</f>
        <v>3.9666666666666663</v>
      </c>
      <c r="AM13" s="1">
        <f>AL13/AK13</f>
        <v>0.77022653721682832</v>
      </c>
      <c r="AN13" s="3"/>
      <c r="AO13" s="3" t="s">
        <v>41</v>
      </c>
      <c r="AP13" s="3"/>
      <c r="AQ13" s="3">
        <v>4.01</v>
      </c>
      <c r="AR13" s="3">
        <v>5.85</v>
      </c>
      <c r="AS13" s="1">
        <f>AVERAGE(AQ13:AQ17)</f>
        <v>3.43</v>
      </c>
      <c r="AT13" s="1">
        <f>AVERAGE(AR13:AR17)</f>
        <v>5.6633333333333331</v>
      </c>
      <c r="AU13" s="1">
        <f>AT13/AS13</f>
        <v>1.6511175898930999</v>
      </c>
    </row>
    <row r="14" spans="1:47" x14ac:dyDescent="0.25">
      <c r="A14" s="1"/>
      <c r="B14" s="2"/>
      <c r="C14" s="1"/>
      <c r="D14" s="1"/>
      <c r="E14" s="1"/>
      <c r="F14" s="1"/>
      <c r="G14" s="1"/>
      <c r="H14" s="3"/>
      <c r="I14" s="1"/>
      <c r="J14" s="2"/>
      <c r="K14" s="1">
        <v>2.64</v>
      </c>
      <c r="L14" s="1">
        <v>12</v>
      </c>
      <c r="M14" s="1"/>
      <c r="N14" s="1"/>
      <c r="O14" s="1"/>
      <c r="P14" s="3"/>
      <c r="Q14" s="3"/>
      <c r="R14" s="2"/>
      <c r="S14" s="3"/>
      <c r="T14" s="3"/>
      <c r="U14" s="1"/>
      <c r="V14" s="1"/>
      <c r="W14" s="1"/>
      <c r="X14" s="3"/>
      <c r="Y14" s="3"/>
      <c r="Z14" s="2"/>
      <c r="AA14" s="3"/>
      <c r="AB14" s="3"/>
      <c r="AC14" s="1"/>
      <c r="AD14" s="1"/>
      <c r="AE14" s="1"/>
      <c r="AF14" s="3"/>
      <c r="AG14" s="3"/>
      <c r="AH14" s="3"/>
      <c r="AI14" s="3">
        <v>6.39</v>
      </c>
      <c r="AJ14" s="3">
        <v>5.27</v>
      </c>
      <c r="AK14" s="1"/>
      <c r="AL14" s="1"/>
      <c r="AM14" s="1"/>
      <c r="AN14" s="3"/>
      <c r="AO14" s="3"/>
      <c r="AP14" s="3"/>
      <c r="AQ14" s="3">
        <v>2.81</v>
      </c>
      <c r="AR14" s="3">
        <v>4.37</v>
      </c>
      <c r="AS14" s="1"/>
      <c r="AT14" s="1"/>
      <c r="AU14" s="1"/>
    </row>
    <row r="15" spans="1:47" x14ac:dyDescent="0.25">
      <c r="A15" s="1"/>
      <c r="B15" s="2"/>
      <c r="C15" s="1">
        <v>4.28</v>
      </c>
      <c r="D15" s="1">
        <v>8.77</v>
      </c>
      <c r="E15" s="1"/>
      <c r="F15" s="1"/>
      <c r="G15" s="1"/>
      <c r="H15" s="3"/>
      <c r="I15" s="1"/>
      <c r="J15" s="2"/>
      <c r="K15" s="1">
        <v>2.86</v>
      </c>
      <c r="L15" s="1"/>
      <c r="M15" s="1"/>
      <c r="N15" s="1"/>
      <c r="O15" s="1"/>
      <c r="P15" s="3"/>
      <c r="Q15" s="3"/>
      <c r="R15" s="2"/>
      <c r="S15" s="3">
        <v>3.16</v>
      </c>
      <c r="T15" s="3">
        <v>6.3</v>
      </c>
      <c r="U15" s="1"/>
      <c r="V15" s="1"/>
      <c r="W15" s="1"/>
      <c r="X15" s="3"/>
      <c r="Y15" s="3"/>
      <c r="Z15" s="2"/>
      <c r="AA15" s="3"/>
      <c r="AB15" s="3">
        <v>8.3800000000000008</v>
      </c>
      <c r="AC15" s="1"/>
      <c r="AD15" s="1"/>
      <c r="AE15" s="1"/>
      <c r="AF15" s="3"/>
      <c r="AG15" s="3"/>
      <c r="AH15" s="3"/>
      <c r="AI15" s="3">
        <v>4.32</v>
      </c>
      <c r="AJ15" s="3"/>
      <c r="AK15" s="1"/>
      <c r="AL15" s="1"/>
      <c r="AM15" s="1"/>
      <c r="AN15" s="3"/>
      <c r="AO15" s="3"/>
      <c r="AP15" s="3"/>
      <c r="AQ15" s="3"/>
      <c r="AR15" s="3"/>
      <c r="AS15" s="1"/>
      <c r="AT15" s="1"/>
      <c r="AU15" s="1"/>
    </row>
    <row r="16" spans="1:47" x14ac:dyDescent="0.25">
      <c r="A16" s="1"/>
      <c r="B16" s="2"/>
      <c r="C16" s="1"/>
      <c r="D16" s="1">
        <v>6.66</v>
      </c>
      <c r="E16" s="1"/>
      <c r="F16" s="1"/>
      <c r="G16" s="1"/>
      <c r="H16" s="3"/>
      <c r="I16" s="1"/>
      <c r="J16" s="2"/>
      <c r="K16" s="1"/>
      <c r="L16" s="1"/>
      <c r="M16" s="1"/>
      <c r="N16" s="1"/>
      <c r="O16" s="1"/>
      <c r="P16" s="3"/>
      <c r="Q16" s="3"/>
      <c r="R16" s="2"/>
      <c r="S16" s="3"/>
      <c r="T16" s="3"/>
      <c r="U16" s="1"/>
      <c r="V16" s="1"/>
      <c r="W16" s="1"/>
      <c r="X16" s="3"/>
      <c r="Y16" s="3"/>
      <c r="Z16" s="2"/>
      <c r="AA16" s="3">
        <v>4.24</v>
      </c>
      <c r="AB16" s="3">
        <v>8.34</v>
      </c>
      <c r="AC16" s="1"/>
      <c r="AD16" s="1"/>
      <c r="AE16" s="1"/>
      <c r="AF16" s="3"/>
      <c r="AG16" s="3"/>
      <c r="AH16" s="3"/>
      <c r="AI16" s="3">
        <v>4.74</v>
      </c>
      <c r="AJ16" s="3"/>
      <c r="AK16" s="1"/>
      <c r="AL16" s="1"/>
      <c r="AM16" s="1"/>
      <c r="AN16" s="3"/>
      <c r="AO16" s="3"/>
      <c r="AP16" s="3"/>
      <c r="AQ16" s="3">
        <v>3.47</v>
      </c>
      <c r="AR16" s="3"/>
      <c r="AS16" s="1"/>
      <c r="AT16" s="1"/>
      <c r="AU16" s="1"/>
    </row>
    <row r="17" spans="1:47" x14ac:dyDescent="0.25">
      <c r="A17" s="1"/>
      <c r="B17" s="2"/>
      <c r="C17" s="1">
        <v>3.24</v>
      </c>
      <c r="D17" s="1"/>
      <c r="E17" s="1"/>
      <c r="F17" s="1"/>
      <c r="G17" s="1"/>
      <c r="H17" s="3"/>
      <c r="I17" s="1"/>
      <c r="J17" s="2"/>
      <c r="K17" s="1">
        <v>4.0599999999999996</v>
      </c>
      <c r="L17" s="1">
        <v>5.84</v>
      </c>
      <c r="M17" s="1"/>
      <c r="N17" s="1"/>
      <c r="O17" s="1"/>
      <c r="P17" s="3"/>
      <c r="Q17" s="3"/>
      <c r="R17" s="2"/>
      <c r="S17" s="3">
        <v>5.18</v>
      </c>
      <c r="T17" s="3">
        <v>7.82</v>
      </c>
      <c r="U17" s="1"/>
      <c r="V17" s="1"/>
      <c r="W17" s="1"/>
      <c r="X17" s="3"/>
      <c r="Y17" s="3"/>
      <c r="Z17" s="2"/>
      <c r="AA17" s="3">
        <v>5.57</v>
      </c>
      <c r="AB17" s="3"/>
      <c r="AC17" s="1"/>
      <c r="AD17" s="1"/>
      <c r="AE17" s="1"/>
      <c r="AF17" s="3"/>
      <c r="AG17" s="3"/>
      <c r="AH17" s="3"/>
      <c r="AI17" s="3"/>
      <c r="AJ17" s="3">
        <v>2.68</v>
      </c>
      <c r="AK17" s="1"/>
      <c r="AL17" s="1"/>
      <c r="AM17" s="1"/>
      <c r="AN17" s="3"/>
      <c r="AO17" s="3"/>
      <c r="AP17" s="3"/>
      <c r="AQ17" s="3"/>
      <c r="AR17" s="3">
        <v>6.77</v>
      </c>
      <c r="AS17" s="1"/>
      <c r="AT17" s="1"/>
      <c r="AU17" s="1"/>
    </row>
    <row r="18" spans="1:47" x14ac:dyDescent="0.25">
      <c r="A18" s="4" t="s">
        <v>7</v>
      </c>
      <c r="B18" s="5"/>
      <c r="C18" s="4">
        <v>4.07</v>
      </c>
      <c r="D18" s="4"/>
      <c r="E18" s="4">
        <f>AVERAGE(C18:C22)</f>
        <v>3.8466666666666662</v>
      </c>
      <c r="F18" s="4">
        <f>AVERAGE(D18:D22)</f>
        <v>5.7966666666666669</v>
      </c>
      <c r="G18" s="4">
        <f>F18/E18</f>
        <v>1.5069324090121319</v>
      </c>
      <c r="H18" s="6"/>
      <c r="I18" s="4" t="s">
        <v>24</v>
      </c>
      <c r="J18" s="5"/>
      <c r="K18" s="4">
        <v>0.16</v>
      </c>
      <c r="L18" s="4">
        <v>5.29</v>
      </c>
      <c r="M18" s="4">
        <f>AVERAGE(K18:K22)</f>
        <v>0.21999999999999997</v>
      </c>
      <c r="N18" s="4">
        <f>AVERAGE(L18:L22)</f>
        <v>4.9666666666666668</v>
      </c>
      <c r="O18" s="4">
        <f>N18/M18</f>
        <v>22.575757575757578</v>
      </c>
      <c r="P18" s="6"/>
      <c r="Q18" s="6" t="s">
        <v>20</v>
      </c>
      <c r="R18" s="5"/>
      <c r="S18" s="6">
        <v>5.36</v>
      </c>
      <c r="T18" s="6">
        <v>6.1</v>
      </c>
      <c r="U18" s="4">
        <f>AVERAGE(S18:S22)</f>
        <v>4.4133333333333331</v>
      </c>
      <c r="V18" s="4">
        <f>AVERAGE(T18:T22)</f>
        <v>7.9799999999999995</v>
      </c>
      <c r="W18" s="4">
        <f>V18/U18</f>
        <v>1.8081570996978851</v>
      </c>
      <c r="X18" s="6"/>
      <c r="Y18" s="6" t="s">
        <v>30</v>
      </c>
      <c r="Z18" s="5"/>
      <c r="AA18" s="6"/>
      <c r="AB18" s="6"/>
      <c r="AC18" s="4">
        <f>AVERAGE(AA18:AA22)</f>
        <v>4.6266666666666669</v>
      </c>
      <c r="AD18" s="4">
        <f>AVERAGE(AB18:AB22)</f>
        <v>6.2333333333333334</v>
      </c>
      <c r="AE18" s="4">
        <f>AD18/AC18</f>
        <v>1.3472622478386167</v>
      </c>
      <c r="AF18" s="6"/>
      <c r="AG18" s="6" t="s">
        <v>38</v>
      </c>
      <c r="AH18" s="6"/>
      <c r="AI18" s="6"/>
      <c r="AJ18" s="6"/>
      <c r="AK18" s="4">
        <f>AVERAGE(AI18:AI22)</f>
        <v>4.126666666666666</v>
      </c>
      <c r="AL18" s="4">
        <f>AVERAGE(AJ18:AJ22)</f>
        <v>5.919999999999999</v>
      </c>
      <c r="AM18" s="4">
        <f>AL18/AK18</f>
        <v>1.4345718901453959</v>
      </c>
      <c r="AN18" s="6"/>
      <c r="AO18" s="6" t="s">
        <v>42</v>
      </c>
      <c r="AP18" s="6"/>
      <c r="AQ18" s="6"/>
      <c r="AR18" s="6"/>
      <c r="AS18" s="4">
        <f>AVERAGE(AQ18:AQ22)</f>
        <v>4.6399999999999997</v>
      </c>
      <c r="AT18" s="4">
        <f>AVERAGE(AR18:AR22)</f>
        <v>4.8633333333333333</v>
      </c>
      <c r="AU18" s="4">
        <f>AT18/AS18</f>
        <v>1.048132183908046</v>
      </c>
    </row>
    <row r="19" spans="1:47" x14ac:dyDescent="0.25">
      <c r="A19" s="4"/>
      <c r="B19" s="5"/>
      <c r="C19" s="4">
        <v>3.35</v>
      </c>
      <c r="D19" s="4">
        <v>4.78</v>
      </c>
      <c r="E19" s="4"/>
      <c r="F19" s="4"/>
      <c r="G19" s="4"/>
      <c r="H19" s="6"/>
      <c r="I19" s="4"/>
      <c r="J19" s="5"/>
      <c r="K19" s="4">
        <v>0.2</v>
      </c>
      <c r="L19" s="4">
        <v>4.12</v>
      </c>
      <c r="M19" s="4"/>
      <c r="N19" s="4"/>
      <c r="O19" s="4"/>
      <c r="P19" s="6"/>
      <c r="Q19" s="6"/>
      <c r="R19" s="5"/>
      <c r="S19" s="6">
        <v>4.96</v>
      </c>
      <c r="T19" s="6"/>
      <c r="U19" s="4"/>
      <c r="V19" s="4"/>
      <c r="W19" s="4"/>
      <c r="X19" s="6"/>
      <c r="Y19" s="6"/>
      <c r="Z19" s="5"/>
      <c r="AA19" s="6">
        <v>4.57</v>
      </c>
      <c r="AB19" s="6"/>
      <c r="AC19" s="4"/>
      <c r="AD19" s="4"/>
      <c r="AE19" s="4"/>
      <c r="AF19" s="6"/>
      <c r="AG19" s="6"/>
      <c r="AH19" s="6"/>
      <c r="AI19" s="6">
        <v>3.64</v>
      </c>
      <c r="AJ19" s="6"/>
      <c r="AK19" s="4"/>
      <c r="AL19" s="4"/>
      <c r="AM19" s="4"/>
      <c r="AN19" s="6"/>
      <c r="AO19" s="6"/>
      <c r="AP19" s="6"/>
      <c r="AQ19" s="6">
        <v>4.79</v>
      </c>
      <c r="AR19" s="6">
        <v>4.04</v>
      </c>
      <c r="AS19" s="4"/>
      <c r="AT19" s="4"/>
      <c r="AU19" s="4"/>
    </row>
    <row r="20" spans="1:47" x14ac:dyDescent="0.25">
      <c r="A20" s="4"/>
      <c r="B20" s="5"/>
      <c r="C20" s="4">
        <v>4.12</v>
      </c>
      <c r="D20" s="4">
        <v>6.83</v>
      </c>
      <c r="E20" s="4"/>
      <c r="F20" s="4"/>
      <c r="G20" s="4"/>
      <c r="H20" s="6"/>
      <c r="I20" s="4"/>
      <c r="J20" s="5"/>
      <c r="K20" s="4"/>
      <c r="L20" s="4"/>
      <c r="M20" s="4"/>
      <c r="N20" s="4"/>
      <c r="O20" s="4"/>
      <c r="P20" s="6"/>
      <c r="Q20" s="6"/>
      <c r="R20" s="5"/>
      <c r="S20" s="6"/>
      <c r="T20" s="6"/>
      <c r="U20" s="4"/>
      <c r="V20" s="4"/>
      <c r="W20" s="4"/>
      <c r="X20" s="6"/>
      <c r="Y20" s="6"/>
      <c r="Z20" s="5"/>
      <c r="AA20" s="6"/>
      <c r="AB20" s="6">
        <v>7.96</v>
      </c>
      <c r="AC20" s="4"/>
      <c r="AD20" s="4"/>
      <c r="AE20" s="4"/>
      <c r="AF20" s="6"/>
      <c r="AG20" s="6"/>
      <c r="AH20" s="6"/>
      <c r="AI20" s="6">
        <v>4.2</v>
      </c>
      <c r="AJ20" s="6">
        <v>5.87</v>
      </c>
      <c r="AK20" s="4"/>
      <c r="AL20" s="4"/>
      <c r="AM20" s="4"/>
      <c r="AN20" s="6"/>
      <c r="AO20" s="6"/>
      <c r="AP20" s="6"/>
      <c r="AQ20" s="6">
        <v>3.54</v>
      </c>
      <c r="AR20" s="6"/>
      <c r="AS20" s="4"/>
      <c r="AT20" s="4"/>
      <c r="AU20" s="4"/>
    </row>
    <row r="21" spans="1:47" x14ac:dyDescent="0.25">
      <c r="A21" s="4"/>
      <c r="B21" s="5"/>
      <c r="C21" s="4"/>
      <c r="D21" s="4">
        <v>5.78</v>
      </c>
      <c r="E21" s="4"/>
      <c r="F21" s="4"/>
      <c r="G21" s="4"/>
      <c r="H21" s="6"/>
      <c r="I21" s="4"/>
      <c r="J21" s="5"/>
      <c r="K21" s="4"/>
      <c r="L21" s="4"/>
      <c r="M21" s="4"/>
      <c r="N21" s="4"/>
      <c r="O21" s="4"/>
      <c r="P21" s="6"/>
      <c r="Q21" s="6"/>
      <c r="R21" s="5"/>
      <c r="S21" s="6"/>
      <c r="T21" s="6">
        <v>7.97</v>
      </c>
      <c r="U21" s="4"/>
      <c r="V21" s="4"/>
      <c r="W21" s="4"/>
      <c r="X21" s="6"/>
      <c r="Y21" s="6"/>
      <c r="Z21" s="5"/>
      <c r="AA21" s="6">
        <v>4.46</v>
      </c>
      <c r="AB21" s="6">
        <v>5.94</v>
      </c>
      <c r="AC21" s="4"/>
      <c r="AD21" s="4"/>
      <c r="AE21" s="4"/>
      <c r="AF21" s="6"/>
      <c r="AG21" s="6"/>
      <c r="AH21" s="6"/>
      <c r="AI21" s="6"/>
      <c r="AJ21" s="6">
        <v>6.49</v>
      </c>
      <c r="AK21" s="4"/>
      <c r="AL21" s="4"/>
      <c r="AM21" s="4"/>
      <c r="AN21" s="6"/>
      <c r="AO21" s="6"/>
      <c r="AP21" s="6"/>
      <c r="AQ21" s="6"/>
      <c r="AR21" s="6">
        <v>5.29</v>
      </c>
      <c r="AS21" s="4"/>
      <c r="AT21" s="4"/>
      <c r="AU21" s="4"/>
    </row>
    <row r="22" spans="1:47" x14ac:dyDescent="0.25">
      <c r="A22" s="4"/>
      <c r="B22" s="5"/>
      <c r="C22" s="4"/>
      <c r="D22" s="4"/>
      <c r="E22" s="4"/>
      <c r="F22" s="4"/>
      <c r="G22" s="4"/>
      <c r="H22" s="6"/>
      <c r="I22" s="4"/>
      <c r="J22" s="5"/>
      <c r="K22" s="4">
        <v>0.3</v>
      </c>
      <c r="L22" s="4">
        <v>5.49</v>
      </c>
      <c r="M22" s="4"/>
      <c r="N22" s="4"/>
      <c r="O22" s="4"/>
      <c r="P22" s="6"/>
      <c r="Q22" s="6"/>
      <c r="R22" s="5"/>
      <c r="S22" s="6">
        <v>2.92</v>
      </c>
      <c r="T22" s="6">
        <v>9.8699999999999992</v>
      </c>
      <c r="U22" s="4"/>
      <c r="V22" s="4"/>
      <c r="W22" s="4"/>
      <c r="X22" s="6"/>
      <c r="Y22" s="6"/>
      <c r="Z22" s="5"/>
      <c r="AA22" s="6">
        <v>4.8499999999999996</v>
      </c>
      <c r="AB22" s="6">
        <v>4.8</v>
      </c>
      <c r="AC22" s="4"/>
      <c r="AD22" s="4"/>
      <c r="AE22" s="4"/>
      <c r="AF22" s="6"/>
      <c r="AG22" s="6"/>
      <c r="AH22" s="6"/>
      <c r="AI22" s="6">
        <v>4.54</v>
      </c>
      <c r="AJ22" s="6">
        <v>5.4</v>
      </c>
      <c r="AK22" s="4"/>
      <c r="AL22" s="4"/>
      <c r="AM22" s="4"/>
      <c r="AN22" s="6"/>
      <c r="AO22" s="6"/>
      <c r="AP22" s="6"/>
      <c r="AQ22" s="6">
        <v>5.59</v>
      </c>
      <c r="AR22" s="6">
        <v>5.26</v>
      </c>
      <c r="AS22" s="4"/>
      <c r="AT22" s="4"/>
      <c r="AU22" s="4"/>
    </row>
    <row r="23" spans="1:47" x14ac:dyDescent="0.25">
      <c r="A23" s="1" t="s">
        <v>9</v>
      </c>
      <c r="B23" s="2"/>
      <c r="C23" s="1">
        <v>5.52</v>
      </c>
      <c r="D23" s="1">
        <v>6.17</v>
      </c>
      <c r="E23" s="1">
        <f>AVERAGE(C23:C27)</f>
        <v>5.6066666666666665</v>
      </c>
      <c r="F23" s="1">
        <f>AVERAGE(D23:D27)</f>
        <v>6.5733333333333333</v>
      </c>
      <c r="G23" s="1">
        <f>F23/E23</f>
        <v>1.1724137931034484</v>
      </c>
      <c r="H23" s="3"/>
      <c r="I23" s="1" t="s">
        <v>14</v>
      </c>
      <c r="J23" s="2"/>
      <c r="K23" s="1">
        <v>4.37</v>
      </c>
      <c r="L23" s="1">
        <v>4.8099999999999996</v>
      </c>
      <c r="M23" s="1">
        <f>AVERAGE(K23:K27)</f>
        <v>4.71</v>
      </c>
      <c r="N23" s="1">
        <f>AVERAGE(L23:L27)</f>
        <v>5.6766666666666659</v>
      </c>
      <c r="O23" s="1">
        <f>N23/M23</f>
        <v>1.2052370842179758</v>
      </c>
      <c r="P23" s="3"/>
      <c r="Q23" s="3" t="s">
        <v>10</v>
      </c>
      <c r="R23" s="2"/>
      <c r="S23" s="3"/>
      <c r="T23" s="3"/>
      <c r="U23" s="1">
        <f>AVERAGE(S23:S27)</f>
        <v>4.3233333333333333</v>
      </c>
      <c r="V23" s="1">
        <f>AVERAGE(T23:T27)</f>
        <v>9.3400000000000016</v>
      </c>
      <c r="W23" s="1">
        <f>V23/U23</f>
        <v>2.1603700848111029</v>
      </c>
      <c r="X23" s="3"/>
      <c r="Y23" s="3" t="s">
        <v>31</v>
      </c>
      <c r="Z23" s="3"/>
      <c r="AA23" s="3"/>
      <c r="AB23" s="3"/>
      <c r="AC23" s="1">
        <f>AVERAGE(AA23:AA27)</f>
        <v>6.97</v>
      </c>
      <c r="AD23" s="1">
        <f>AVERAGE(AB23:AB27)</f>
        <v>6.6700000000000008</v>
      </c>
      <c r="AE23" s="1">
        <f>AD23/AC23</f>
        <v>0.95695839311334308</v>
      </c>
      <c r="AF23" s="3"/>
      <c r="AG23" s="3" t="s">
        <v>28</v>
      </c>
      <c r="AH23" s="3"/>
      <c r="AI23" s="3">
        <v>5.14</v>
      </c>
      <c r="AJ23" s="3"/>
      <c r="AK23" s="1">
        <f>AVERAGE(AI23:AI27)</f>
        <v>4.6866666666666665</v>
      </c>
      <c r="AL23" s="1">
        <f>AVERAGE(AJ23:AJ27)</f>
        <v>2.7000000000000006</v>
      </c>
      <c r="AM23" s="1">
        <f>AL23/AK23</f>
        <v>0.57610241820768149</v>
      </c>
      <c r="AN23" s="3"/>
      <c r="AO23" s="3" t="s">
        <v>33</v>
      </c>
      <c r="AP23" s="3"/>
      <c r="AQ23" s="3">
        <v>5.94</v>
      </c>
      <c r="AR23" s="3"/>
      <c r="AS23" s="1">
        <f>AVERAGE(AQ23:AQ27)</f>
        <v>5.31</v>
      </c>
      <c r="AT23" s="1">
        <f>AVERAGE(AR23:AR27)</f>
        <v>7.12</v>
      </c>
      <c r="AU23" s="1">
        <f>AT23/AS23</f>
        <v>1.3408662900188326</v>
      </c>
    </row>
    <row r="24" spans="1:47" x14ac:dyDescent="0.25">
      <c r="A24" s="1"/>
      <c r="B24" s="2"/>
      <c r="C24" s="1">
        <v>6.6</v>
      </c>
      <c r="D24" s="1">
        <v>6.83</v>
      </c>
      <c r="E24" s="1"/>
      <c r="F24" s="1"/>
      <c r="G24" s="1"/>
      <c r="H24" s="3"/>
      <c r="I24" s="3"/>
      <c r="J24" s="2"/>
      <c r="K24" s="1"/>
      <c r="L24" s="1"/>
      <c r="M24" s="1"/>
      <c r="N24" s="1"/>
      <c r="O24" s="1"/>
      <c r="P24" s="3"/>
      <c r="Q24" s="3"/>
      <c r="R24" s="2"/>
      <c r="S24" s="3"/>
      <c r="T24" s="3">
        <v>10.130000000000001</v>
      </c>
      <c r="U24" s="1"/>
      <c r="V24" s="1"/>
      <c r="W24" s="1"/>
      <c r="X24" s="3"/>
      <c r="Y24" s="3"/>
      <c r="Z24" s="3"/>
      <c r="AA24" s="3"/>
      <c r="AB24" s="3">
        <v>6.57</v>
      </c>
      <c r="AC24" s="1"/>
      <c r="AD24" s="1"/>
      <c r="AE24" s="1"/>
      <c r="AF24" s="3"/>
      <c r="AG24" s="3"/>
      <c r="AH24" s="3"/>
      <c r="AI24" s="3"/>
      <c r="AJ24" s="3"/>
      <c r="AK24" s="1"/>
      <c r="AL24" s="1"/>
      <c r="AM24" s="1"/>
      <c r="AN24" s="3"/>
      <c r="AO24" s="3"/>
      <c r="AP24" s="3"/>
      <c r="AQ24" s="3">
        <v>4.76</v>
      </c>
      <c r="AR24" s="3">
        <v>6.58</v>
      </c>
      <c r="AS24" s="1"/>
      <c r="AT24" s="1"/>
      <c r="AU24" s="1"/>
    </row>
    <row r="25" spans="1:47" x14ac:dyDescent="0.25">
      <c r="A25" s="1"/>
      <c r="B25" s="2"/>
      <c r="C25" s="1"/>
      <c r="D25" s="1"/>
      <c r="E25" s="1"/>
      <c r="F25" s="1"/>
      <c r="G25" s="1"/>
      <c r="H25" s="3"/>
      <c r="I25" s="1"/>
      <c r="J25" s="2"/>
      <c r="K25" s="1">
        <v>4.5</v>
      </c>
      <c r="L25" s="1">
        <v>7.59</v>
      </c>
      <c r="M25" s="1"/>
      <c r="N25" s="1"/>
      <c r="O25" s="1"/>
      <c r="P25" s="3"/>
      <c r="Q25" s="3"/>
      <c r="R25" s="2"/>
      <c r="S25" s="3">
        <v>4.91</v>
      </c>
      <c r="T25" s="3">
        <v>10.4</v>
      </c>
      <c r="U25" s="1"/>
      <c r="V25" s="1"/>
      <c r="W25" s="1"/>
      <c r="X25" s="3"/>
      <c r="Y25" s="3"/>
      <c r="Z25" s="3"/>
      <c r="AA25" s="3">
        <v>6.74</v>
      </c>
      <c r="AB25" s="3">
        <v>7.32</v>
      </c>
      <c r="AC25" s="1"/>
      <c r="AD25" s="1"/>
      <c r="AE25" s="1"/>
      <c r="AF25" s="3"/>
      <c r="AG25" s="3"/>
      <c r="AH25" s="3"/>
      <c r="AI25" s="3">
        <v>5.44</v>
      </c>
      <c r="AJ25" s="3">
        <v>2</v>
      </c>
      <c r="AK25" s="1"/>
      <c r="AL25" s="1"/>
      <c r="AM25" s="1"/>
      <c r="AN25" s="3"/>
      <c r="AO25" s="3"/>
      <c r="AP25" s="3"/>
      <c r="AQ25" s="3"/>
      <c r="AR25" s="3"/>
      <c r="AS25" s="1"/>
      <c r="AT25" s="1"/>
      <c r="AU25" s="1"/>
    </row>
    <row r="26" spans="1:47" x14ac:dyDescent="0.25">
      <c r="A26" s="1"/>
      <c r="B26" s="2"/>
      <c r="C26" s="1"/>
      <c r="D26" s="1"/>
      <c r="E26" s="1"/>
      <c r="F26" s="1"/>
      <c r="G26" s="1"/>
      <c r="H26" s="3"/>
      <c r="I26" s="1"/>
      <c r="J26" s="2"/>
      <c r="K26" s="1"/>
      <c r="L26" s="1">
        <v>4.63</v>
      </c>
      <c r="M26" s="1"/>
      <c r="N26" s="1"/>
      <c r="O26" s="1"/>
      <c r="P26" s="3"/>
      <c r="Q26" s="3"/>
      <c r="R26" s="2"/>
      <c r="S26" s="3">
        <v>3.57</v>
      </c>
      <c r="T26" s="3"/>
      <c r="U26" s="1"/>
      <c r="V26" s="1"/>
      <c r="W26" s="1"/>
      <c r="X26" s="3"/>
      <c r="Y26" s="3"/>
      <c r="Z26" s="3"/>
      <c r="AA26" s="3">
        <v>7.8</v>
      </c>
      <c r="AB26" s="3"/>
      <c r="AC26" s="1"/>
      <c r="AD26" s="1"/>
      <c r="AE26" s="1"/>
      <c r="AF26" s="3"/>
      <c r="AG26" s="3"/>
      <c r="AH26" s="3"/>
      <c r="AI26" s="3">
        <v>3.48</v>
      </c>
      <c r="AJ26" s="3">
        <v>2.56</v>
      </c>
      <c r="AK26" s="1"/>
      <c r="AL26" s="1"/>
      <c r="AM26" s="1"/>
      <c r="AN26" s="3"/>
      <c r="AO26" s="3"/>
      <c r="AP26" s="3"/>
      <c r="AQ26" s="3">
        <v>5.23</v>
      </c>
      <c r="AR26" s="3">
        <v>7.07</v>
      </c>
      <c r="AS26" s="1"/>
      <c r="AT26" s="1"/>
      <c r="AU26" s="1"/>
    </row>
    <row r="27" spans="1:47" x14ac:dyDescent="0.25">
      <c r="A27" s="1"/>
      <c r="B27" s="2"/>
      <c r="C27" s="1">
        <v>4.7</v>
      </c>
      <c r="D27" s="1">
        <v>6.72</v>
      </c>
      <c r="E27" s="1"/>
      <c r="F27" s="1"/>
      <c r="G27" s="1"/>
      <c r="H27" s="3"/>
      <c r="I27" s="1"/>
      <c r="J27" s="2"/>
      <c r="K27" s="1">
        <v>5.26</v>
      </c>
      <c r="L27" s="3"/>
      <c r="M27" s="1"/>
      <c r="N27" s="1"/>
      <c r="O27" s="1"/>
      <c r="P27" s="3"/>
      <c r="Q27" s="3"/>
      <c r="R27" s="2"/>
      <c r="S27" s="3">
        <v>4.49</v>
      </c>
      <c r="T27" s="3">
        <v>7.49</v>
      </c>
      <c r="U27" s="1"/>
      <c r="V27" s="1"/>
      <c r="W27" s="1"/>
      <c r="X27" s="3"/>
      <c r="Y27" s="3"/>
      <c r="Z27" s="3"/>
      <c r="AA27" s="3">
        <v>6.37</v>
      </c>
      <c r="AB27" s="3">
        <v>6.12</v>
      </c>
      <c r="AC27" s="1"/>
      <c r="AD27" s="1"/>
      <c r="AE27" s="1"/>
      <c r="AF27" s="3"/>
      <c r="AG27" s="3"/>
      <c r="AH27" s="3"/>
      <c r="AI27" s="3"/>
      <c r="AJ27" s="3">
        <v>3.54</v>
      </c>
      <c r="AK27" s="1"/>
      <c r="AL27" s="1"/>
      <c r="AM27" s="1"/>
      <c r="AN27" s="3"/>
      <c r="AO27" s="3"/>
      <c r="AP27" s="3"/>
      <c r="AQ27" s="3"/>
      <c r="AR27" s="3">
        <v>7.71</v>
      </c>
      <c r="AS27" s="1"/>
      <c r="AT27" s="1"/>
      <c r="AU27" s="1"/>
    </row>
    <row r="28" spans="1:47" x14ac:dyDescent="0.25">
      <c r="A28" s="4"/>
      <c r="B28" s="4"/>
      <c r="C28" s="4"/>
      <c r="D28" s="4"/>
      <c r="E28" s="4" t="e">
        <f>AVERAGE(C28:C32)</f>
        <v>#DIV/0!</v>
      </c>
      <c r="F28" s="4" t="e">
        <f>AVERAGE(D28:D32)</f>
        <v>#DIV/0!</v>
      </c>
      <c r="G28" s="4" t="e">
        <f>F28/E28</f>
        <v>#DIV/0!</v>
      </c>
      <c r="H28" s="6"/>
      <c r="I28" s="4" t="s">
        <v>15</v>
      </c>
      <c r="J28" s="6"/>
      <c r="K28" s="6">
        <v>5.08</v>
      </c>
      <c r="L28" s="6">
        <v>4.67</v>
      </c>
      <c r="M28" s="4">
        <f>AVERAGE(K28:K32)</f>
        <v>6.0500000000000007</v>
      </c>
      <c r="N28" s="4">
        <f>AVERAGE(L28:L32)</f>
        <v>4.4766666666666666</v>
      </c>
      <c r="O28" s="4">
        <f>N28/M28</f>
        <v>0.73994490358126708</v>
      </c>
      <c r="P28" s="6"/>
      <c r="Q28" s="6" t="s">
        <v>11</v>
      </c>
      <c r="R28" s="6"/>
      <c r="S28" s="6">
        <v>4.51</v>
      </c>
      <c r="T28" s="6">
        <v>9.5500000000000007</v>
      </c>
      <c r="U28" s="4">
        <f>AVERAGE(S28:S32)</f>
        <v>4.6833333333333336</v>
      </c>
      <c r="V28" s="4">
        <f>AVERAGE(T28:T32)</f>
        <v>8.4699999999999989</v>
      </c>
      <c r="W28" s="4">
        <f>V28/U28</f>
        <v>1.8085409252669036</v>
      </c>
      <c r="X28" s="6"/>
      <c r="Y28" s="6" t="s">
        <v>32</v>
      </c>
      <c r="Z28" s="6"/>
      <c r="AA28" s="6">
        <v>2.65</v>
      </c>
      <c r="AB28" s="6"/>
      <c r="AC28" s="4">
        <f>AVERAGE(AA28:AA32)</f>
        <v>3.3966666666666669</v>
      </c>
      <c r="AD28" s="4">
        <f>AVERAGE(AB28:AB32)</f>
        <v>7.3566666666666665</v>
      </c>
      <c r="AE28" s="4">
        <f>AD28/AC28</f>
        <v>2.1658488714425905</v>
      </c>
      <c r="AF28" s="6"/>
      <c r="AG28" s="6" t="s">
        <v>29</v>
      </c>
      <c r="AH28" s="6"/>
      <c r="AI28" s="6">
        <v>7.94</v>
      </c>
      <c r="AJ28" s="6">
        <v>6.99</v>
      </c>
      <c r="AK28" s="4">
        <f>AVERAGE(AI28:AI32)</f>
        <v>5.7600000000000007</v>
      </c>
      <c r="AL28" s="4">
        <f>AVERAGE(AJ28:AJ32)</f>
        <v>6.7266666666666666</v>
      </c>
      <c r="AM28" s="4">
        <f>AL28/AK28</f>
        <v>1.167824074074074</v>
      </c>
      <c r="AN28" s="6"/>
      <c r="AO28" s="6" t="s">
        <v>34</v>
      </c>
      <c r="AP28" s="6"/>
      <c r="AQ28" s="6">
        <v>2.58</v>
      </c>
      <c r="AR28" s="6">
        <v>5.3</v>
      </c>
      <c r="AS28" s="4">
        <f>AVERAGE(AQ28:AQ32)</f>
        <v>2.78</v>
      </c>
      <c r="AT28" s="4">
        <f>AVERAGE(AR28:AR32)</f>
        <v>8.2266666666666666</v>
      </c>
      <c r="AU28" s="4">
        <f>AT28/AS28</f>
        <v>2.9592326139088732</v>
      </c>
    </row>
    <row r="29" spans="1:47" x14ac:dyDescent="0.25">
      <c r="A29" s="4"/>
      <c r="B29" s="4"/>
      <c r="C29" s="4"/>
      <c r="D29" s="4"/>
      <c r="E29" s="4"/>
      <c r="F29" s="4"/>
      <c r="G29" s="4"/>
      <c r="H29" s="6"/>
      <c r="I29" s="6"/>
      <c r="J29" s="6"/>
      <c r="K29" s="6">
        <v>7.04</v>
      </c>
      <c r="L29" s="6"/>
      <c r="M29" s="6"/>
      <c r="N29" s="6"/>
      <c r="O29" s="6"/>
      <c r="P29" s="6"/>
      <c r="Q29" s="6"/>
      <c r="R29" s="6"/>
      <c r="S29" s="6">
        <v>4.5599999999999996</v>
      </c>
      <c r="T29" s="6"/>
      <c r="U29" s="6"/>
      <c r="V29" s="6"/>
      <c r="W29" s="6"/>
      <c r="X29" s="6"/>
      <c r="Y29" s="6"/>
      <c r="Z29" s="6"/>
      <c r="AA29" s="6">
        <v>4</v>
      </c>
      <c r="AB29" s="6">
        <v>9.82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2.8</v>
      </c>
      <c r="AR29" s="6"/>
      <c r="AS29" s="6"/>
      <c r="AT29" s="6"/>
      <c r="AU29" s="6"/>
    </row>
    <row r="30" spans="1:47" x14ac:dyDescent="0.25">
      <c r="A30" s="4"/>
      <c r="B30" s="4"/>
      <c r="C30" s="4"/>
      <c r="D30" s="4"/>
      <c r="E30" s="4"/>
      <c r="F30" s="4"/>
      <c r="G30" s="4"/>
      <c r="H30" s="6"/>
      <c r="I30" s="6"/>
      <c r="J30" s="6"/>
      <c r="K30" s="6"/>
      <c r="L30" s="4">
        <v>4.55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3.54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>
        <v>2.96</v>
      </c>
      <c r="AR30" s="6">
        <v>8.0399999999999991</v>
      </c>
      <c r="AS30" s="6"/>
      <c r="AT30" s="6"/>
      <c r="AU30" s="6"/>
    </row>
    <row r="31" spans="1:47" x14ac:dyDescent="0.25">
      <c r="A31" s="4"/>
      <c r="B31" s="4"/>
      <c r="C31" s="4"/>
      <c r="D31" s="4"/>
      <c r="E31" s="4"/>
      <c r="F31" s="4"/>
      <c r="G31" s="4"/>
      <c r="H31" s="6"/>
      <c r="I31" s="4"/>
      <c r="J31" s="4"/>
      <c r="K31" s="4"/>
      <c r="L31" s="6">
        <v>4.21</v>
      </c>
      <c r="M31" s="4"/>
      <c r="N31" s="4"/>
      <c r="O31" s="4"/>
      <c r="P31" s="6"/>
      <c r="Q31" s="4"/>
      <c r="R31" s="4"/>
      <c r="S31" s="4"/>
      <c r="T31" s="4">
        <v>6.74</v>
      </c>
      <c r="U31" s="4"/>
      <c r="V31" s="4"/>
      <c r="W31" s="4"/>
      <c r="X31" s="6"/>
      <c r="Y31" s="4"/>
      <c r="Z31" s="4"/>
      <c r="AA31" s="4"/>
      <c r="AB31" s="4">
        <v>6.44</v>
      </c>
      <c r="AC31" s="4"/>
      <c r="AD31" s="4"/>
      <c r="AE31" s="4"/>
      <c r="AF31" s="6"/>
      <c r="AG31" s="6"/>
      <c r="AH31" s="6"/>
      <c r="AI31" s="6">
        <v>5.17</v>
      </c>
      <c r="AJ31" s="6">
        <v>7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4"/>
      <c r="B32" s="5"/>
      <c r="C32" s="4"/>
      <c r="D32" s="4"/>
      <c r="E32" s="4"/>
      <c r="F32" s="4"/>
      <c r="G32" s="4"/>
      <c r="H32" s="6"/>
      <c r="I32" s="6"/>
      <c r="J32" s="5"/>
      <c r="K32" s="6">
        <v>6.03</v>
      </c>
      <c r="L32" s="4"/>
      <c r="M32" s="4"/>
      <c r="N32" s="4"/>
      <c r="O32" s="4"/>
      <c r="P32" s="6"/>
      <c r="Q32" s="6"/>
      <c r="R32" s="5"/>
      <c r="S32" s="6">
        <v>4.9800000000000004</v>
      </c>
      <c r="T32" s="6">
        <v>9.1199999999999992</v>
      </c>
      <c r="U32" s="4"/>
      <c r="V32" s="4"/>
      <c r="W32" s="4"/>
      <c r="X32" s="6"/>
      <c r="Y32" s="6"/>
      <c r="Z32" s="5"/>
      <c r="AA32" s="6"/>
      <c r="AB32" s="6">
        <v>5.81</v>
      </c>
      <c r="AC32" s="4"/>
      <c r="AD32" s="4"/>
      <c r="AE32" s="4"/>
      <c r="AF32" s="6"/>
      <c r="AG32" s="6"/>
      <c r="AH32" s="6"/>
      <c r="AI32" s="6">
        <v>4.17</v>
      </c>
      <c r="AJ32" s="6">
        <v>6.19</v>
      </c>
      <c r="AK32" s="6"/>
      <c r="AL32" s="6"/>
      <c r="AM32" s="6"/>
      <c r="AN32" s="6"/>
      <c r="AO32" s="6"/>
      <c r="AP32" s="6"/>
      <c r="AQ32" s="6"/>
      <c r="AR32" s="6">
        <v>11.34</v>
      </c>
      <c r="AS32" s="6"/>
      <c r="AT32" s="6"/>
      <c r="AU32" s="6"/>
    </row>
    <row r="38" spans="2:5" x14ac:dyDescent="0.25">
      <c r="B38" s="1" t="s">
        <v>6</v>
      </c>
      <c r="C38" s="1" t="s">
        <v>3</v>
      </c>
      <c r="D38" s="1" t="s">
        <v>4</v>
      </c>
      <c r="E38" s="1" t="s">
        <v>5</v>
      </c>
    </row>
    <row r="39" spans="2:5" x14ac:dyDescent="0.25">
      <c r="B39" s="1" t="s">
        <v>12</v>
      </c>
      <c r="C39" s="1">
        <v>4.7166666666666677</v>
      </c>
      <c r="D39" s="1">
        <v>8.2033333333333331</v>
      </c>
      <c r="E39" s="1">
        <v>1.7392226148409891</v>
      </c>
    </row>
    <row r="40" spans="2:5" x14ac:dyDescent="0.25">
      <c r="B40" s="4" t="s">
        <v>13</v>
      </c>
      <c r="C40" s="4">
        <v>5.3833333333333329</v>
      </c>
      <c r="D40" s="4">
        <v>6.8999999999999995</v>
      </c>
      <c r="E40" s="4">
        <v>1.2817337461300309</v>
      </c>
    </row>
    <row r="41" spans="2:5" x14ac:dyDescent="0.25">
      <c r="B41" s="1" t="s">
        <v>14</v>
      </c>
      <c r="C41" s="1">
        <v>4.37</v>
      </c>
      <c r="D41" s="1">
        <v>8.42</v>
      </c>
      <c r="E41" s="1">
        <v>1.9267734553775744</v>
      </c>
    </row>
    <row r="42" spans="2:5" x14ac:dyDescent="0.25">
      <c r="B42" s="1" t="s">
        <v>14</v>
      </c>
      <c r="C42" s="1">
        <v>4.71</v>
      </c>
      <c r="D42" s="1">
        <v>5.6766666666666659</v>
      </c>
      <c r="E42" s="1">
        <v>1.2052370842179758</v>
      </c>
    </row>
    <row r="43" spans="2:5" x14ac:dyDescent="0.25">
      <c r="B43" s="4" t="s">
        <v>15</v>
      </c>
      <c r="C43" s="4">
        <v>6.0500000000000007</v>
      </c>
      <c r="D43" s="4">
        <v>4.4766666666666666</v>
      </c>
      <c r="E43" s="4">
        <v>0.73994490358126708</v>
      </c>
    </row>
    <row r="44" spans="2:5" x14ac:dyDescent="0.25">
      <c r="B44" s="4" t="s">
        <v>7</v>
      </c>
      <c r="C44" s="4">
        <v>3.8466666666666662</v>
      </c>
      <c r="D44" s="4">
        <v>5.7966666666666669</v>
      </c>
      <c r="E44" s="4">
        <v>1.5069324090121319</v>
      </c>
    </row>
    <row r="46" spans="2:5" x14ac:dyDescent="0.25">
      <c r="B46" s="1" t="s">
        <v>9</v>
      </c>
      <c r="C46" s="1">
        <v>5.6066666666666665</v>
      </c>
      <c r="D46" s="1">
        <v>6.5733333333333333</v>
      </c>
      <c r="E46" s="1">
        <v>1.1724137931034484</v>
      </c>
    </row>
    <row r="47" spans="2:5" x14ac:dyDescent="0.25">
      <c r="B47" s="3" t="s">
        <v>10</v>
      </c>
      <c r="C47" s="1">
        <v>4.3233333333333333</v>
      </c>
      <c r="D47" s="1">
        <v>9.3400000000000016</v>
      </c>
      <c r="E47" s="1">
        <v>2.1603700848111029</v>
      </c>
    </row>
    <row r="48" spans="2:5" x14ac:dyDescent="0.25">
      <c r="B48" s="6" t="s">
        <v>11</v>
      </c>
      <c r="C48" s="4">
        <v>4.6833333333333336</v>
      </c>
      <c r="D48" s="4">
        <v>8.4699999999999989</v>
      </c>
      <c r="E48" s="4">
        <v>1.8085409252669036</v>
      </c>
    </row>
    <row r="49" spans="2:5" x14ac:dyDescent="0.25">
      <c r="B49" s="1" t="s">
        <v>21</v>
      </c>
      <c r="C49" s="1">
        <v>4.0866666666666669</v>
      </c>
      <c r="D49" s="1">
        <v>8.18</v>
      </c>
      <c r="E49" s="1">
        <v>2.0016313213703096</v>
      </c>
    </row>
    <row r="50" spans="2:5" x14ac:dyDescent="0.25">
      <c r="B50" s="4" t="s">
        <v>22</v>
      </c>
      <c r="C50" s="4">
        <v>3.4633333333333334</v>
      </c>
      <c r="D50" s="4">
        <v>2.9833333333333329</v>
      </c>
      <c r="E50" s="4">
        <v>0.8614051973051009</v>
      </c>
    </row>
    <row r="51" spans="2:5" x14ac:dyDescent="0.25">
      <c r="B51" s="1" t="s">
        <v>23</v>
      </c>
      <c r="C51" s="1">
        <v>3.1866666666666661</v>
      </c>
      <c r="D51" s="1">
        <v>7.9766666666666666</v>
      </c>
      <c r="E51" s="1">
        <v>2.5031380753138079</v>
      </c>
    </row>
    <row r="52" spans="2:5" x14ac:dyDescent="0.25">
      <c r="B52" s="4" t="s">
        <v>24</v>
      </c>
      <c r="C52" s="4">
        <v>0.21999999999999997</v>
      </c>
      <c r="D52" s="4">
        <v>4.9666666666666668</v>
      </c>
      <c r="E52" s="4">
        <v>22.575757575757578</v>
      </c>
    </row>
    <row r="53" spans="2:5" x14ac:dyDescent="0.25">
      <c r="B53" s="3" t="s">
        <v>17</v>
      </c>
      <c r="C53" s="1">
        <v>3.9599999999999995</v>
      </c>
      <c r="D53" s="1">
        <v>9.31</v>
      </c>
      <c r="E53" s="1">
        <v>2.3510101010101012</v>
      </c>
    </row>
    <row r="54" spans="2:5" x14ac:dyDescent="0.25">
      <c r="B54" s="6" t="s">
        <v>18</v>
      </c>
      <c r="C54" s="4">
        <v>3.1333333333333333</v>
      </c>
      <c r="D54" s="4">
        <v>6.830000000000001</v>
      </c>
      <c r="E54" s="4">
        <v>2.1797872340425535</v>
      </c>
    </row>
    <row r="55" spans="2:5" x14ac:dyDescent="0.25">
      <c r="B55" s="3" t="s">
        <v>19</v>
      </c>
      <c r="C55" s="1">
        <v>4.1399999999999997</v>
      </c>
      <c r="D55" s="1">
        <v>7.13</v>
      </c>
      <c r="E55" s="1">
        <v>1.7222222222222223</v>
      </c>
    </row>
    <row r="56" spans="2:5" x14ac:dyDescent="0.25">
      <c r="B56" s="6" t="s">
        <v>20</v>
      </c>
      <c r="C56" s="4">
        <v>4.4133333333333331</v>
      </c>
      <c r="D56" s="4">
        <v>7.9799999999999995</v>
      </c>
      <c r="E56" s="4">
        <v>1.8081570996978851</v>
      </c>
    </row>
    <row r="57" spans="2:5" x14ac:dyDescent="0.25">
      <c r="B57" s="3" t="s">
        <v>25</v>
      </c>
      <c r="C57" s="1">
        <v>5.3733333333333322</v>
      </c>
      <c r="D57" s="1">
        <v>4.2600000000000007</v>
      </c>
      <c r="E57" s="1">
        <v>0.79280397022332538</v>
      </c>
    </row>
    <row r="58" spans="2:5" x14ac:dyDescent="0.25">
      <c r="B58" s="6" t="s">
        <v>26</v>
      </c>
      <c r="C58" s="4">
        <v>4.4333333333333336</v>
      </c>
      <c r="D58" s="4">
        <v>7.2399999999999993</v>
      </c>
      <c r="E58" s="4">
        <v>1.6330827067669171</v>
      </c>
    </row>
    <row r="59" spans="2:5" x14ac:dyDescent="0.25">
      <c r="B59" s="3" t="s">
        <v>27</v>
      </c>
      <c r="C59" s="1">
        <v>4.41</v>
      </c>
      <c r="D59" s="1">
        <v>7.5933333333333337</v>
      </c>
      <c r="E59" s="1">
        <v>1.7218442932728648</v>
      </c>
    </row>
    <row r="60" spans="2:5" x14ac:dyDescent="0.25">
      <c r="B60" s="3" t="s">
        <v>28</v>
      </c>
      <c r="C60" s="1">
        <v>4.6866666666666665</v>
      </c>
      <c r="D60" s="1">
        <v>2.7000000000000006</v>
      </c>
      <c r="E60" s="1">
        <v>0.57610241820768149</v>
      </c>
    </row>
    <row r="61" spans="2:5" x14ac:dyDescent="0.25">
      <c r="B61" s="6" t="s">
        <v>29</v>
      </c>
      <c r="C61" s="4">
        <v>5.7600000000000007</v>
      </c>
      <c r="D61" s="4">
        <v>6.7266666666666666</v>
      </c>
      <c r="E61" s="4">
        <v>1.167824074074074</v>
      </c>
    </row>
    <row r="62" spans="2:5" x14ac:dyDescent="0.25">
      <c r="B62" s="6" t="s">
        <v>30</v>
      </c>
      <c r="C62" s="4">
        <v>4.6266666666666669</v>
      </c>
      <c r="D62" s="4">
        <v>6.2333333333333334</v>
      </c>
      <c r="E62" s="4">
        <v>1.3472622478386167</v>
      </c>
    </row>
    <row r="63" spans="2:5" x14ac:dyDescent="0.25">
      <c r="B63" s="3" t="s">
        <v>31</v>
      </c>
      <c r="C63" s="1">
        <v>6.97</v>
      </c>
      <c r="D63" s="1">
        <v>6.6700000000000008</v>
      </c>
      <c r="E63" s="1">
        <v>0.95695839311334308</v>
      </c>
    </row>
    <row r="64" spans="2:5" x14ac:dyDescent="0.25">
      <c r="B64" s="6" t="s">
        <v>32</v>
      </c>
      <c r="C64" s="4">
        <v>3.3966666666666669</v>
      </c>
      <c r="D64" s="4">
        <v>7.3566666666666665</v>
      </c>
      <c r="E64" s="4">
        <v>2.1658488714425905</v>
      </c>
    </row>
    <row r="65" spans="2:5" x14ac:dyDescent="0.25">
      <c r="B65" s="3" t="s">
        <v>33</v>
      </c>
      <c r="C65" s="1">
        <v>5.31</v>
      </c>
      <c r="D65" s="1">
        <v>7.12</v>
      </c>
      <c r="E65" s="1">
        <v>1.3408662900188326</v>
      </c>
    </row>
    <row r="66" spans="2:5" x14ac:dyDescent="0.25">
      <c r="B66" s="6" t="s">
        <v>34</v>
      </c>
      <c r="C66" s="4">
        <v>2.78</v>
      </c>
      <c r="D66" s="4">
        <v>8.2266666666666666</v>
      </c>
      <c r="E66" s="4">
        <v>2.9592326139088732</v>
      </c>
    </row>
    <row r="67" spans="2:5" x14ac:dyDescent="0.25">
      <c r="B67" s="3" t="s">
        <v>35</v>
      </c>
      <c r="C67" s="1">
        <v>5.57</v>
      </c>
      <c r="D67" s="1">
        <v>6.6000000000000005</v>
      </c>
      <c r="E67" s="1">
        <v>1.1849192100538599</v>
      </c>
    </row>
    <row r="68" spans="2:5" x14ac:dyDescent="0.25">
      <c r="B68" s="6" t="s">
        <v>36</v>
      </c>
      <c r="C68" s="4">
        <v>3.7899999999999996</v>
      </c>
      <c r="D68" s="4">
        <v>5.4633333333333338</v>
      </c>
      <c r="E68" s="4">
        <v>1.4415127528583995</v>
      </c>
    </row>
    <row r="69" spans="2:5" x14ac:dyDescent="0.25">
      <c r="B69" s="3" t="s">
        <v>37</v>
      </c>
      <c r="C69" s="1">
        <v>5.15</v>
      </c>
      <c r="D69" s="1">
        <v>3.9666666666666663</v>
      </c>
      <c r="E69" s="1">
        <v>0.77022653721682832</v>
      </c>
    </row>
    <row r="70" spans="2:5" x14ac:dyDescent="0.25">
      <c r="B70" s="6" t="s">
        <v>38</v>
      </c>
      <c r="C70" s="4">
        <v>4.126666666666666</v>
      </c>
      <c r="D70" s="4">
        <v>5.919999999999999</v>
      </c>
      <c r="E70" s="4">
        <v>1.4345718901453959</v>
      </c>
    </row>
    <row r="71" spans="2:5" x14ac:dyDescent="0.25">
      <c r="B71" s="3" t="s">
        <v>39</v>
      </c>
      <c r="C71" s="1">
        <v>4.72</v>
      </c>
      <c r="D71" s="1">
        <v>6.1833333333333336</v>
      </c>
      <c r="E71" s="1">
        <v>1.3100282485875707</v>
      </c>
    </row>
    <row r="72" spans="2:5" x14ac:dyDescent="0.25">
      <c r="B72" s="6" t="s">
        <v>40</v>
      </c>
      <c r="C72" s="4">
        <v>3.66</v>
      </c>
      <c r="D72" s="4">
        <v>4.253333333333333</v>
      </c>
      <c r="E72" s="4">
        <v>1.1621129326047357</v>
      </c>
    </row>
    <row r="73" spans="2:5" x14ac:dyDescent="0.25">
      <c r="B73" s="3" t="s">
        <v>41</v>
      </c>
      <c r="C73" s="1">
        <v>3.43</v>
      </c>
      <c r="D73" s="1">
        <v>5.6633333333333331</v>
      </c>
      <c r="E73" s="1">
        <v>1.6511175898930999</v>
      </c>
    </row>
    <row r="74" spans="2:5" x14ac:dyDescent="0.25">
      <c r="B74" s="6" t="s">
        <v>42</v>
      </c>
      <c r="C74" s="4">
        <v>4.6399999999999997</v>
      </c>
      <c r="D74" s="4">
        <v>4.8633333333333333</v>
      </c>
      <c r="E74" s="4">
        <v>1.048132183908046</v>
      </c>
    </row>
  </sheetData>
  <mergeCells count="6">
    <mergeCell ref="AO1:AU1"/>
    <mergeCell ref="I1:O1"/>
    <mergeCell ref="Q1:W1"/>
    <mergeCell ref="A1:G1"/>
    <mergeCell ref="Y1:AE1"/>
    <mergeCell ref="AG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Plan</vt:lpstr>
      <vt:lpstr>Mice info</vt:lpstr>
      <vt:lpstr>BL (Pre-SNI)</vt:lpstr>
      <vt:lpstr>Surgery</vt:lpstr>
      <vt:lpstr>Post-SNI</vt:lpstr>
      <vt:lpstr>Week 1</vt:lpstr>
      <vt:lpstr>Week 2</vt:lpstr>
      <vt:lpstr>Week 3</vt:lpstr>
      <vt:lpstr>Week 4</vt:lpstr>
      <vt:lpstr>Vehicle A</vt:lpstr>
      <vt:lpstr>Loperamide</vt:lpstr>
      <vt:lpstr>Vehicle B</vt:lpstr>
      <vt:lpstr>Metformin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Yu-Hsuan Chang</dc:creator>
  <cp:lastModifiedBy>Creed, Meaghan</cp:lastModifiedBy>
  <dcterms:created xsi:type="dcterms:W3CDTF">2024-01-02T02:24:49Z</dcterms:created>
  <dcterms:modified xsi:type="dcterms:W3CDTF">2024-06-19T19:50:06Z</dcterms:modified>
</cp:coreProperties>
</file>