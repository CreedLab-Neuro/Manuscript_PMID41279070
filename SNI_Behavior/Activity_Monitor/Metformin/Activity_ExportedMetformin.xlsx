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agh\Box\CreedLabBoxDrive\Jeremy\SNI_Dopamine_Paper\Figure1_SNIBehavior\Activity_Monitor\Metformin\"/>
    </mc:Choice>
  </mc:AlternateContent>
  <xr:revisionPtr revIDLastSave="0" documentId="13_ncr:1_{A06CD81A-4775-4E92-A982-B0C819833F29}" xr6:coauthVersionLast="47" xr6:coauthVersionMax="47" xr10:uidLastSave="{00000000-0000-0000-0000-000000000000}"/>
  <bookViews>
    <workbookView xWindow="-120" yWindow="-120" windowWidth="29040" windowHeight="15720" activeTab="4" xr2:uid="{83F7E267-A05E-A546-909F-3666457748D1}"/>
  </bookViews>
  <sheets>
    <sheet name="CTRL_MET" sheetId="2" r:id="rId1"/>
    <sheet name="CTRL_VEH" sheetId="3" r:id="rId2"/>
    <sheet name="SNI_MET" sheetId="4" r:id="rId3"/>
    <sheet name="SNI_VEH" sheetId="5" r:id="rId4"/>
    <sheet name="Summar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5" i="6" l="1"/>
  <c r="AI55" i="6"/>
  <c r="AJ54" i="6"/>
  <c r="AI54" i="6"/>
  <c r="AJ53" i="6"/>
  <c r="AI53" i="6"/>
  <c r="AJ52" i="6"/>
  <c r="AI52" i="6"/>
  <c r="AJ51" i="6"/>
  <c r="AI51" i="6"/>
  <c r="AJ50" i="6"/>
  <c r="AI50" i="6"/>
  <c r="AJ49" i="6"/>
  <c r="AI49" i="6"/>
  <c r="AJ48" i="6"/>
  <c r="AI48" i="6"/>
  <c r="AJ47" i="6"/>
  <c r="AI47" i="6"/>
  <c r="AJ46" i="6"/>
  <c r="AI46" i="6"/>
  <c r="AJ45" i="6"/>
  <c r="AI45" i="6"/>
  <c r="AJ44" i="6"/>
  <c r="AI44" i="6"/>
  <c r="AJ43" i="6"/>
  <c r="AI43" i="6"/>
  <c r="AJ42" i="6"/>
  <c r="AI42" i="6"/>
  <c r="AJ41" i="6"/>
  <c r="AI41" i="6"/>
  <c r="AJ40" i="6"/>
  <c r="AI40" i="6"/>
  <c r="AJ39" i="6"/>
  <c r="AI39" i="6"/>
  <c r="AJ38" i="6"/>
  <c r="AI38" i="6"/>
  <c r="AJ37" i="6"/>
  <c r="AI37" i="6"/>
  <c r="AJ36" i="6"/>
  <c r="AI36" i="6"/>
  <c r="AJ35" i="6"/>
  <c r="AI35" i="6"/>
  <c r="AJ34" i="6"/>
  <c r="AI34" i="6"/>
  <c r="AJ33" i="6"/>
  <c r="AI33" i="6"/>
  <c r="AJ32" i="6"/>
  <c r="AI32" i="6"/>
  <c r="AI5" i="6"/>
  <c r="AJ5" i="6"/>
  <c r="AI6" i="6"/>
  <c r="AJ6" i="6"/>
  <c r="AI7" i="6"/>
  <c r="AJ7" i="6"/>
  <c r="AI8" i="6"/>
  <c r="AJ8" i="6"/>
  <c r="AI9" i="6"/>
  <c r="AJ9" i="6"/>
  <c r="AI10" i="6"/>
  <c r="AJ10" i="6"/>
  <c r="AI11" i="6"/>
  <c r="AJ11" i="6"/>
  <c r="AI12" i="6"/>
  <c r="AJ12" i="6"/>
  <c r="AI13" i="6"/>
  <c r="AJ13" i="6"/>
  <c r="AI14" i="6"/>
  <c r="AJ14" i="6"/>
  <c r="AI15" i="6"/>
  <c r="AJ15" i="6"/>
  <c r="AI16" i="6"/>
  <c r="AJ16" i="6"/>
  <c r="AI17" i="6"/>
  <c r="AJ17" i="6"/>
  <c r="AI18" i="6"/>
  <c r="AJ18" i="6"/>
  <c r="AI19" i="6"/>
  <c r="AJ19" i="6"/>
  <c r="AI20" i="6"/>
  <c r="AJ20" i="6"/>
  <c r="AI21" i="6"/>
  <c r="AJ21" i="6"/>
  <c r="AI22" i="6"/>
  <c r="AJ22" i="6"/>
  <c r="AI23" i="6"/>
  <c r="AJ23" i="6"/>
  <c r="AI24" i="6"/>
  <c r="AJ24" i="6"/>
  <c r="AI25" i="6"/>
  <c r="AJ25" i="6"/>
  <c r="AI26" i="6"/>
  <c r="AJ26" i="6"/>
  <c r="AI27" i="6"/>
  <c r="AJ27" i="6"/>
  <c r="AJ4" i="6"/>
  <c r="AI4" i="6"/>
  <c r="U27" i="5"/>
  <c r="T27" i="5"/>
  <c r="U26" i="5"/>
  <c r="T26" i="5"/>
  <c r="U25" i="5"/>
  <c r="T25" i="5"/>
  <c r="U24" i="5"/>
  <c r="T24" i="5"/>
  <c r="U23" i="5"/>
  <c r="T23" i="5"/>
  <c r="U22" i="5"/>
  <c r="T22" i="5"/>
  <c r="U21" i="5"/>
  <c r="T21" i="5"/>
  <c r="U20" i="5"/>
  <c r="T20" i="5"/>
  <c r="U19" i="5"/>
  <c r="T19" i="5"/>
  <c r="U18" i="5"/>
  <c r="T18" i="5"/>
  <c r="U17" i="5"/>
  <c r="T17" i="5"/>
  <c r="U16" i="5"/>
  <c r="T16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T9" i="5"/>
  <c r="U8" i="5"/>
  <c r="T8" i="5"/>
  <c r="U7" i="5"/>
  <c r="T7" i="5"/>
  <c r="U6" i="5"/>
  <c r="T6" i="5"/>
  <c r="U5" i="5"/>
  <c r="T5" i="5"/>
  <c r="U4" i="5"/>
  <c r="T4" i="5"/>
  <c r="U27" i="4"/>
  <c r="T27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U19" i="4"/>
  <c r="T19" i="4"/>
  <c r="U18" i="4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11" i="4"/>
  <c r="T11" i="4"/>
  <c r="U10" i="4"/>
  <c r="T10" i="4"/>
  <c r="U9" i="4"/>
  <c r="T9" i="4"/>
  <c r="U8" i="4"/>
  <c r="T8" i="4"/>
  <c r="U7" i="4"/>
  <c r="T7" i="4"/>
  <c r="U6" i="4"/>
  <c r="T6" i="4"/>
  <c r="U5" i="4"/>
  <c r="T5" i="4"/>
  <c r="U4" i="4"/>
  <c r="T4" i="4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R5" i="3"/>
  <c r="Q5" i="3"/>
  <c r="R4" i="3"/>
  <c r="Q4" i="3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R4" i="2"/>
  <c r="Q4" i="2"/>
</calcChain>
</file>

<file path=xl/sharedStrings.xml><?xml version="1.0" encoding="utf-8"?>
<sst xmlns="http://schemas.openxmlformats.org/spreadsheetml/2006/main" count="400" uniqueCount="28">
  <si>
    <t>Time</t>
  </si>
  <si>
    <t>56F</t>
  </si>
  <si>
    <t>59F</t>
  </si>
  <si>
    <t>50D</t>
  </si>
  <si>
    <t>A0D</t>
  </si>
  <si>
    <t>A04</t>
  </si>
  <si>
    <t>FED1</t>
  </si>
  <si>
    <t>FED3</t>
  </si>
  <si>
    <t>FED2</t>
  </si>
  <si>
    <t>FED4</t>
  </si>
  <si>
    <t>FED6</t>
  </si>
  <si>
    <t>Ctrl</t>
  </si>
  <si>
    <t>average activity</t>
  </si>
  <si>
    <t>sem</t>
  </si>
  <si>
    <t>B5F</t>
  </si>
  <si>
    <t>55C</t>
  </si>
  <si>
    <t>A22</t>
  </si>
  <si>
    <t>B65</t>
  </si>
  <si>
    <t>50E</t>
  </si>
  <si>
    <t>FED7</t>
  </si>
  <si>
    <t>FED9</t>
  </si>
  <si>
    <t>FED11</t>
  </si>
  <si>
    <t>FED8</t>
  </si>
  <si>
    <t>FED10</t>
  </si>
  <si>
    <t>FED12</t>
  </si>
  <si>
    <t>SNI</t>
  </si>
  <si>
    <t>VEH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</si>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</sst>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EAA0-D7E7-924E-BADF-D0C4567E28E3}">
  <dimension ref="A1:R27"/>
  <sheetViews>
    <sheetView workbookViewId="0">
      <selection sqref="A1:P27"/>
    </sheetView>
  </sheetViews>
  <sheetFormatPr defaultColWidth="11" defaultRowHeight="15.75" x14ac:dyDescent="0.25"/>
  <cols>
    <col min="1" max="1" width="14.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8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6</v>
      </c>
      <c r="M2" t="s">
        <v>7</v>
      </c>
      <c r="N2" t="s">
        <v>8</v>
      </c>
      <c r="O2" t="s">
        <v>9</v>
      </c>
      <c r="P2" t="s">
        <v>10</v>
      </c>
    </row>
    <row r="3" spans="1:18" x14ac:dyDescent="0.25"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</row>
    <row r="4" spans="1:18" x14ac:dyDescent="0.25">
      <c r="A4" s="1">
        <v>45406.291666666664</v>
      </c>
      <c r="B4">
        <v>20.2</v>
      </c>
      <c r="C4">
        <v>13.9</v>
      </c>
      <c r="D4">
        <v>15.6</v>
      </c>
      <c r="E4">
        <v>2.4400000000000002E-2</v>
      </c>
      <c r="F4">
        <v>6.45</v>
      </c>
      <c r="G4">
        <v>0.59699999999999998</v>
      </c>
      <c r="H4">
        <v>11</v>
      </c>
      <c r="I4">
        <v>1.99</v>
      </c>
      <c r="J4">
        <v>2.4400000000000002E-2</v>
      </c>
      <c r="K4">
        <v>14.8</v>
      </c>
      <c r="L4">
        <v>8.69</v>
      </c>
      <c r="M4">
        <v>16.899999999999999</v>
      </c>
      <c r="N4">
        <v>25.5</v>
      </c>
      <c r="O4">
        <v>1.38</v>
      </c>
      <c r="P4">
        <v>39.799999999999997</v>
      </c>
      <c r="Q4">
        <f>AVERAGE(B4:P4)</f>
        <v>11.790386666666667</v>
      </c>
      <c r="R4">
        <f>_xlfn.STDEV.S(B4:P4) / SQRT(COUNT(B4:P4))</f>
        <v>2.880717861490623</v>
      </c>
    </row>
    <row r="5" spans="1:18" x14ac:dyDescent="0.25">
      <c r="A5" s="1">
        <v>45406.333333333336</v>
      </c>
      <c r="B5">
        <v>0.86599999999999999</v>
      </c>
      <c r="C5">
        <v>8.66</v>
      </c>
      <c r="D5">
        <v>1.78</v>
      </c>
      <c r="E5">
        <v>1.96</v>
      </c>
      <c r="F5">
        <v>5.03</v>
      </c>
      <c r="G5">
        <v>0.39</v>
      </c>
      <c r="H5">
        <v>12.4</v>
      </c>
      <c r="I5">
        <v>0.70199999999999996</v>
      </c>
      <c r="J5">
        <v>11.8</v>
      </c>
      <c r="K5">
        <v>2.29</v>
      </c>
      <c r="L5">
        <v>2.16</v>
      </c>
      <c r="M5">
        <v>1.26</v>
      </c>
      <c r="N5">
        <v>24.6</v>
      </c>
      <c r="O5">
        <v>2.4400000000000002E-2</v>
      </c>
      <c r="P5">
        <v>4.82</v>
      </c>
      <c r="Q5">
        <f t="shared" ref="Q5:Q27" si="0">AVERAGE(B5:P5)</f>
        <v>5.2494933333333336</v>
      </c>
      <c r="R5">
        <f t="shared" ref="R5:R27" si="1">_xlfn.STDEV.S(B5:P5) / SQRT(COUNT(B5:P5))</f>
        <v>1.7296214167506541</v>
      </c>
    </row>
    <row r="6" spans="1:18" x14ac:dyDescent="0.25">
      <c r="A6" s="1">
        <v>45406.375</v>
      </c>
      <c r="B6">
        <v>0.44500000000000001</v>
      </c>
      <c r="C6">
        <v>2.56</v>
      </c>
      <c r="D6">
        <v>0.94899999999999995</v>
      </c>
      <c r="E6">
        <v>6.54E-2</v>
      </c>
      <c r="F6">
        <v>17.5</v>
      </c>
      <c r="G6">
        <v>5.03</v>
      </c>
      <c r="H6">
        <v>1.73</v>
      </c>
      <c r="I6">
        <v>0.41099999999999998</v>
      </c>
      <c r="J6">
        <v>6.51</v>
      </c>
      <c r="K6">
        <v>2.52</v>
      </c>
      <c r="L6">
        <v>32</v>
      </c>
      <c r="M6">
        <v>17.399999999999999</v>
      </c>
      <c r="N6">
        <v>2.69</v>
      </c>
      <c r="O6">
        <v>2.96</v>
      </c>
      <c r="P6">
        <v>1.19</v>
      </c>
      <c r="Q6">
        <f t="shared" si="0"/>
        <v>6.2640266666666671</v>
      </c>
      <c r="R6">
        <f t="shared" si="1"/>
        <v>2.3367693132973684</v>
      </c>
    </row>
    <row r="7" spans="1:18" x14ac:dyDescent="0.25">
      <c r="A7" s="1">
        <v>45406.416666666664</v>
      </c>
      <c r="B7">
        <v>4.05</v>
      </c>
      <c r="C7">
        <v>1.35</v>
      </c>
      <c r="D7">
        <v>3.84</v>
      </c>
      <c r="E7">
        <v>0.72899999999999998</v>
      </c>
      <c r="F7">
        <v>5.43</v>
      </c>
      <c r="G7">
        <v>4.33</v>
      </c>
      <c r="H7">
        <v>1.34</v>
      </c>
      <c r="I7">
        <v>19.600000000000001</v>
      </c>
      <c r="J7">
        <v>2.8</v>
      </c>
      <c r="K7">
        <v>7.55</v>
      </c>
      <c r="L7">
        <v>8.0299999999999994</v>
      </c>
      <c r="M7">
        <v>6.61</v>
      </c>
      <c r="N7">
        <v>5.76</v>
      </c>
      <c r="O7">
        <v>5.62</v>
      </c>
      <c r="P7">
        <v>0.13700000000000001</v>
      </c>
      <c r="Q7">
        <f t="shared" si="0"/>
        <v>5.1450666666666667</v>
      </c>
      <c r="R7">
        <f t="shared" si="1"/>
        <v>1.2118699539954052</v>
      </c>
    </row>
    <row r="8" spans="1:18" x14ac:dyDescent="0.25">
      <c r="A8" s="1">
        <v>45406.458333333336</v>
      </c>
      <c r="B8">
        <v>3.65</v>
      </c>
      <c r="C8">
        <v>22.7</v>
      </c>
      <c r="D8">
        <v>0.42099999999999999</v>
      </c>
      <c r="E8">
        <v>8.7100000000000009</v>
      </c>
      <c r="F8">
        <v>1.82</v>
      </c>
      <c r="G8">
        <v>13</v>
      </c>
      <c r="H8">
        <v>16.399999999999999</v>
      </c>
      <c r="I8">
        <v>9.02</v>
      </c>
      <c r="J8">
        <v>1.85</v>
      </c>
      <c r="K8">
        <v>9.6199999999999992</v>
      </c>
      <c r="L8">
        <v>10</v>
      </c>
      <c r="M8">
        <v>15.1</v>
      </c>
      <c r="N8">
        <v>13.5</v>
      </c>
      <c r="O8">
        <v>25.9</v>
      </c>
      <c r="P8">
        <v>0.94699999999999995</v>
      </c>
      <c r="Q8">
        <f t="shared" si="0"/>
        <v>10.175866666666666</v>
      </c>
      <c r="R8">
        <f t="shared" si="1"/>
        <v>2.0142308158904081</v>
      </c>
    </row>
    <row r="9" spans="1:18" x14ac:dyDescent="0.25">
      <c r="A9" s="1">
        <v>45406.5</v>
      </c>
      <c r="B9">
        <v>20.100000000000001</v>
      </c>
      <c r="C9">
        <v>1.2</v>
      </c>
      <c r="D9">
        <v>13.1</v>
      </c>
      <c r="E9">
        <v>2.4400000000000002E-2</v>
      </c>
      <c r="F9">
        <v>6.65</v>
      </c>
      <c r="G9">
        <v>0.5</v>
      </c>
      <c r="H9">
        <v>2.69</v>
      </c>
      <c r="I9">
        <v>0.499</v>
      </c>
      <c r="J9">
        <v>0.13100000000000001</v>
      </c>
      <c r="K9">
        <v>4.43</v>
      </c>
      <c r="L9">
        <v>0.64100000000000001</v>
      </c>
      <c r="M9">
        <v>1.1499999999999999</v>
      </c>
      <c r="N9">
        <v>1.5</v>
      </c>
      <c r="O9">
        <v>1.18</v>
      </c>
      <c r="P9">
        <v>0.224</v>
      </c>
      <c r="Q9">
        <f t="shared" si="0"/>
        <v>3.6012933333333326</v>
      </c>
      <c r="R9">
        <f t="shared" si="1"/>
        <v>1.4792960186542616</v>
      </c>
    </row>
    <row r="10" spans="1:18" x14ac:dyDescent="0.25">
      <c r="A10" s="1">
        <v>45406.541666666664</v>
      </c>
      <c r="B10">
        <v>2.4400000000000002E-2</v>
      </c>
      <c r="C10">
        <v>1.29</v>
      </c>
      <c r="D10">
        <v>1.72</v>
      </c>
      <c r="E10">
        <v>0.58899999999999997</v>
      </c>
      <c r="F10">
        <v>17.600000000000001</v>
      </c>
      <c r="G10">
        <v>1.1299999999999999</v>
      </c>
      <c r="H10">
        <v>5.66</v>
      </c>
      <c r="I10">
        <v>0.873</v>
      </c>
      <c r="J10">
        <v>0.52900000000000003</v>
      </c>
      <c r="K10">
        <v>4.55</v>
      </c>
      <c r="L10">
        <v>2.4400000000000002E-2</v>
      </c>
      <c r="M10">
        <v>11</v>
      </c>
      <c r="N10">
        <v>4.1099999999999998E-2</v>
      </c>
      <c r="O10">
        <v>0.54</v>
      </c>
      <c r="P10">
        <v>1.36</v>
      </c>
      <c r="Q10">
        <f t="shared" si="0"/>
        <v>3.1287266666666667</v>
      </c>
      <c r="R10">
        <f t="shared" si="1"/>
        <v>1.2837751483312863</v>
      </c>
    </row>
    <row r="11" spans="1:18" x14ac:dyDescent="0.25">
      <c r="A11" s="1">
        <v>45406.583333333336</v>
      </c>
      <c r="B11">
        <v>11.8</v>
      </c>
      <c r="C11">
        <v>20.2</v>
      </c>
      <c r="D11">
        <v>0.94099999999999995</v>
      </c>
      <c r="E11">
        <v>3.46</v>
      </c>
      <c r="F11">
        <v>8.73</v>
      </c>
      <c r="G11">
        <v>0.13300000000000001</v>
      </c>
      <c r="H11">
        <v>13.3</v>
      </c>
      <c r="I11">
        <v>14</v>
      </c>
      <c r="J11">
        <v>13.2</v>
      </c>
      <c r="K11">
        <v>3.06</v>
      </c>
      <c r="L11">
        <v>2.4400000000000002E-2</v>
      </c>
      <c r="M11">
        <v>1.96</v>
      </c>
      <c r="N11">
        <v>0.89100000000000001</v>
      </c>
      <c r="O11">
        <v>4.3099999999999996</v>
      </c>
      <c r="P11">
        <v>3.24</v>
      </c>
      <c r="Q11">
        <f t="shared" si="0"/>
        <v>6.6166266666666669</v>
      </c>
      <c r="R11">
        <f t="shared" si="1"/>
        <v>1.6473280236410155</v>
      </c>
    </row>
    <row r="12" spans="1:18" x14ac:dyDescent="0.25">
      <c r="A12" s="1">
        <v>45406.625</v>
      </c>
      <c r="B12">
        <v>1.1499999999999999</v>
      </c>
      <c r="C12">
        <v>8.41</v>
      </c>
      <c r="D12">
        <v>2.68</v>
      </c>
      <c r="E12">
        <v>0.752</v>
      </c>
      <c r="F12">
        <v>7.08</v>
      </c>
      <c r="G12">
        <v>3.12</v>
      </c>
      <c r="H12">
        <v>4.92</v>
      </c>
      <c r="I12">
        <v>7.93</v>
      </c>
      <c r="J12">
        <v>21.7</v>
      </c>
      <c r="K12">
        <v>5.97</v>
      </c>
      <c r="L12">
        <v>7.6700000000000004E-2</v>
      </c>
      <c r="M12">
        <v>3</v>
      </c>
      <c r="N12">
        <v>1.59</v>
      </c>
      <c r="O12">
        <v>2.4400000000000002E-2</v>
      </c>
      <c r="P12">
        <v>0.108</v>
      </c>
      <c r="Q12">
        <f t="shared" si="0"/>
        <v>4.5674066666666677</v>
      </c>
      <c r="R12">
        <f t="shared" si="1"/>
        <v>1.4341244074502195</v>
      </c>
    </row>
    <row r="13" spans="1:18" x14ac:dyDescent="0.25">
      <c r="A13" s="1">
        <v>45406.666666666664</v>
      </c>
      <c r="B13">
        <v>3.18</v>
      </c>
      <c r="C13">
        <v>1.89</v>
      </c>
      <c r="D13">
        <v>13.6</v>
      </c>
      <c r="E13">
        <v>9.86</v>
      </c>
      <c r="F13">
        <v>15.4</v>
      </c>
      <c r="G13">
        <v>4.8499999999999996</v>
      </c>
      <c r="H13">
        <v>2.23</v>
      </c>
      <c r="I13">
        <v>1.1200000000000001</v>
      </c>
      <c r="J13">
        <v>5.84</v>
      </c>
      <c r="K13">
        <v>1.06</v>
      </c>
      <c r="L13">
        <v>0.41399999999999998</v>
      </c>
      <c r="M13">
        <v>3.46</v>
      </c>
      <c r="N13">
        <v>0.91500000000000004</v>
      </c>
      <c r="O13">
        <v>2.4400000000000002E-2</v>
      </c>
      <c r="P13">
        <v>3.5</v>
      </c>
      <c r="Q13">
        <f t="shared" si="0"/>
        <v>4.48956</v>
      </c>
      <c r="R13">
        <f t="shared" si="1"/>
        <v>1.2361454712051299</v>
      </c>
    </row>
    <row r="14" spans="1:18" x14ac:dyDescent="0.25">
      <c r="A14" s="1">
        <v>45406.708333333336</v>
      </c>
      <c r="B14">
        <v>10.199999999999999</v>
      </c>
      <c r="C14">
        <v>20.9</v>
      </c>
      <c r="D14">
        <v>22.9</v>
      </c>
      <c r="E14">
        <v>11.5</v>
      </c>
      <c r="F14">
        <v>12.7</v>
      </c>
      <c r="G14">
        <v>14.5</v>
      </c>
      <c r="H14">
        <v>31</v>
      </c>
      <c r="I14">
        <v>22.2</v>
      </c>
      <c r="J14">
        <v>3.98</v>
      </c>
      <c r="K14">
        <v>15.8</v>
      </c>
      <c r="L14">
        <v>0.36199999999999999</v>
      </c>
      <c r="M14">
        <v>1.31</v>
      </c>
      <c r="N14">
        <v>12.6</v>
      </c>
      <c r="O14">
        <v>16.3</v>
      </c>
      <c r="P14">
        <v>23.2</v>
      </c>
      <c r="Q14">
        <f t="shared" si="0"/>
        <v>14.630133333333333</v>
      </c>
      <c r="R14">
        <f t="shared" si="1"/>
        <v>2.2278491909861806</v>
      </c>
    </row>
    <row r="15" spans="1:18" x14ac:dyDescent="0.25">
      <c r="A15" s="1">
        <v>45406.75</v>
      </c>
      <c r="B15">
        <v>1.37</v>
      </c>
      <c r="C15">
        <v>1.48</v>
      </c>
      <c r="D15">
        <v>3.57</v>
      </c>
      <c r="E15">
        <v>1.72</v>
      </c>
      <c r="F15">
        <v>0.96199999999999997</v>
      </c>
      <c r="G15">
        <v>5.4600000000000003E-2</v>
      </c>
      <c r="H15">
        <v>4.43</v>
      </c>
      <c r="I15">
        <v>3.44E-2</v>
      </c>
      <c r="J15">
        <v>9.4E-2</v>
      </c>
      <c r="K15">
        <v>2.0499999999999998</v>
      </c>
      <c r="L15">
        <v>10.1</v>
      </c>
      <c r="M15">
        <v>16.899999999999999</v>
      </c>
      <c r="N15">
        <v>2.4400000000000002E-2</v>
      </c>
      <c r="O15">
        <v>3.56</v>
      </c>
      <c r="P15">
        <v>0.38800000000000001</v>
      </c>
      <c r="Q15">
        <f t="shared" si="0"/>
        <v>3.1158266666666665</v>
      </c>
      <c r="R15">
        <f t="shared" si="1"/>
        <v>1.1939441373015847</v>
      </c>
    </row>
    <row r="16" spans="1:18" x14ac:dyDescent="0.25">
      <c r="A16" s="1">
        <v>45406.791666666664</v>
      </c>
      <c r="B16">
        <v>12.2</v>
      </c>
      <c r="C16">
        <v>3.6</v>
      </c>
      <c r="D16">
        <v>5.86</v>
      </c>
      <c r="E16">
        <v>2.1800000000000002</v>
      </c>
      <c r="F16">
        <v>3.87</v>
      </c>
      <c r="G16">
        <v>1.02</v>
      </c>
      <c r="H16">
        <v>1.33</v>
      </c>
      <c r="I16">
        <v>0.83599999999999997</v>
      </c>
      <c r="J16">
        <v>2.4400000000000002E-2</v>
      </c>
      <c r="K16">
        <v>2.92</v>
      </c>
      <c r="L16">
        <v>3.27E-2</v>
      </c>
      <c r="M16">
        <v>1.19</v>
      </c>
      <c r="N16">
        <v>0.58599999999999997</v>
      </c>
      <c r="O16">
        <v>2.4400000000000002E-2</v>
      </c>
      <c r="P16">
        <v>0.16600000000000001</v>
      </c>
      <c r="Q16">
        <f t="shared" si="0"/>
        <v>2.3892999999999995</v>
      </c>
      <c r="R16">
        <f t="shared" si="1"/>
        <v>0.82825545478490648</v>
      </c>
    </row>
    <row r="17" spans="1:18" x14ac:dyDescent="0.25">
      <c r="A17" s="1">
        <v>45406.833333333336</v>
      </c>
      <c r="B17">
        <v>22.8</v>
      </c>
      <c r="C17">
        <v>4.59</v>
      </c>
      <c r="D17">
        <v>5.03</v>
      </c>
      <c r="E17">
        <v>5.3</v>
      </c>
      <c r="F17">
        <v>12.3</v>
      </c>
      <c r="G17">
        <v>7.88</v>
      </c>
      <c r="H17">
        <v>7.35</v>
      </c>
      <c r="I17">
        <v>0.24399999999999999</v>
      </c>
      <c r="J17">
        <v>3.61</v>
      </c>
      <c r="K17">
        <v>2.62</v>
      </c>
      <c r="L17">
        <v>24.5</v>
      </c>
      <c r="M17">
        <v>3.02</v>
      </c>
      <c r="N17">
        <v>2.4400000000000002E-2</v>
      </c>
      <c r="O17">
        <v>0.72399999999999998</v>
      </c>
      <c r="P17">
        <v>5.48</v>
      </c>
      <c r="Q17">
        <f t="shared" si="0"/>
        <v>7.0314933333333336</v>
      </c>
      <c r="R17">
        <f t="shared" si="1"/>
        <v>1.9271976075680128</v>
      </c>
    </row>
    <row r="18" spans="1:18" x14ac:dyDescent="0.25">
      <c r="A18" s="1">
        <v>45406.875</v>
      </c>
      <c r="B18">
        <v>12.8</v>
      </c>
      <c r="C18">
        <v>7.4</v>
      </c>
      <c r="D18">
        <v>21</v>
      </c>
      <c r="E18">
        <v>19.600000000000001</v>
      </c>
      <c r="F18">
        <v>4.46</v>
      </c>
      <c r="G18">
        <v>0.73699999999999999</v>
      </c>
      <c r="H18">
        <v>2.5099999999999998</v>
      </c>
      <c r="I18">
        <v>1.77</v>
      </c>
      <c r="J18">
        <v>0.57499999999999996</v>
      </c>
      <c r="K18">
        <v>7.99</v>
      </c>
      <c r="L18">
        <v>18.3</v>
      </c>
      <c r="M18">
        <v>13.3</v>
      </c>
      <c r="N18">
        <v>9.7799999999999994</v>
      </c>
      <c r="O18">
        <v>21.9</v>
      </c>
      <c r="P18">
        <v>20.2</v>
      </c>
      <c r="Q18">
        <f t="shared" si="0"/>
        <v>10.821466666666664</v>
      </c>
      <c r="R18">
        <f t="shared" si="1"/>
        <v>2.0427744692117864</v>
      </c>
    </row>
    <row r="19" spans="1:18" x14ac:dyDescent="0.25">
      <c r="A19" s="1">
        <v>45406.916666666664</v>
      </c>
      <c r="B19">
        <v>5.28</v>
      </c>
      <c r="C19">
        <v>30.4</v>
      </c>
      <c r="D19">
        <v>25</v>
      </c>
      <c r="E19">
        <v>41</v>
      </c>
      <c r="F19">
        <v>4.54</v>
      </c>
      <c r="G19">
        <v>24.2</v>
      </c>
      <c r="H19">
        <v>9.66</v>
      </c>
      <c r="I19">
        <v>9.3899999999999997E-2</v>
      </c>
      <c r="J19">
        <v>4.9000000000000004</v>
      </c>
      <c r="K19">
        <v>33.200000000000003</v>
      </c>
      <c r="L19">
        <v>23.5</v>
      </c>
      <c r="M19">
        <v>15</v>
      </c>
      <c r="N19">
        <v>2.17</v>
      </c>
      <c r="O19">
        <v>30.7</v>
      </c>
      <c r="P19">
        <v>31.3</v>
      </c>
      <c r="Q19">
        <f t="shared" si="0"/>
        <v>18.729593333333334</v>
      </c>
      <c r="R19">
        <f t="shared" si="1"/>
        <v>3.468249401100636</v>
      </c>
    </row>
    <row r="20" spans="1:18" x14ac:dyDescent="0.25">
      <c r="A20" s="1">
        <v>45406.958333333336</v>
      </c>
      <c r="B20">
        <v>18</v>
      </c>
      <c r="C20">
        <v>10.9</v>
      </c>
      <c r="D20">
        <v>15.5</v>
      </c>
      <c r="E20">
        <v>4.59</v>
      </c>
      <c r="F20">
        <v>14.7</v>
      </c>
      <c r="G20">
        <v>26.9</v>
      </c>
      <c r="H20">
        <v>16.7</v>
      </c>
      <c r="I20">
        <v>12.3</v>
      </c>
      <c r="J20">
        <v>27</v>
      </c>
      <c r="K20">
        <v>5.47</v>
      </c>
      <c r="L20">
        <v>8.15</v>
      </c>
      <c r="M20">
        <v>20</v>
      </c>
      <c r="N20">
        <v>26.2</v>
      </c>
      <c r="O20">
        <v>10.7</v>
      </c>
      <c r="P20">
        <v>0.36799999999999999</v>
      </c>
      <c r="Q20">
        <f t="shared" si="0"/>
        <v>14.498533333333333</v>
      </c>
      <c r="R20">
        <f t="shared" si="1"/>
        <v>2.1239057594254596</v>
      </c>
    </row>
    <row r="21" spans="1:18" x14ac:dyDescent="0.25">
      <c r="A21" s="1">
        <v>45407</v>
      </c>
      <c r="B21">
        <v>7.49</v>
      </c>
      <c r="C21">
        <v>25.3</v>
      </c>
      <c r="D21">
        <v>19.600000000000001</v>
      </c>
      <c r="E21">
        <v>1.42</v>
      </c>
      <c r="F21">
        <v>12.7</v>
      </c>
      <c r="G21">
        <v>12.5</v>
      </c>
      <c r="H21">
        <v>9.6999999999999993</v>
      </c>
      <c r="I21">
        <v>15.1</v>
      </c>
      <c r="J21">
        <v>4.0500000000000001E-2</v>
      </c>
      <c r="K21">
        <v>25.3</v>
      </c>
      <c r="L21">
        <v>7.6</v>
      </c>
      <c r="M21">
        <v>8.67</v>
      </c>
      <c r="N21">
        <v>24</v>
      </c>
      <c r="O21">
        <v>47</v>
      </c>
      <c r="P21">
        <v>1.28</v>
      </c>
      <c r="Q21">
        <f t="shared" si="0"/>
        <v>14.513366666666665</v>
      </c>
      <c r="R21">
        <f t="shared" si="1"/>
        <v>3.178872411820727</v>
      </c>
    </row>
    <row r="22" spans="1:18" x14ac:dyDescent="0.25">
      <c r="A22" s="1">
        <v>45407.041666666664</v>
      </c>
      <c r="B22">
        <v>11.5</v>
      </c>
      <c r="C22">
        <v>4.78</v>
      </c>
      <c r="D22">
        <v>23</v>
      </c>
      <c r="E22">
        <v>29.7</v>
      </c>
      <c r="F22">
        <v>5.33</v>
      </c>
      <c r="G22">
        <v>36.6</v>
      </c>
      <c r="H22">
        <v>8.41</v>
      </c>
      <c r="I22">
        <v>16.7</v>
      </c>
      <c r="J22">
        <v>15.3</v>
      </c>
      <c r="K22">
        <v>4.3499999999999996</v>
      </c>
      <c r="L22">
        <v>1.02</v>
      </c>
      <c r="M22">
        <v>13.7</v>
      </c>
      <c r="N22">
        <v>2.21</v>
      </c>
      <c r="O22">
        <v>9.02</v>
      </c>
      <c r="P22">
        <v>30.1</v>
      </c>
      <c r="Q22">
        <f t="shared" si="0"/>
        <v>14.114666666666666</v>
      </c>
      <c r="R22">
        <f t="shared" si="1"/>
        <v>2.8697233758619061</v>
      </c>
    </row>
    <row r="23" spans="1:18" x14ac:dyDescent="0.25">
      <c r="A23" s="1">
        <v>45407.083333333336</v>
      </c>
      <c r="B23">
        <v>34.1</v>
      </c>
      <c r="C23">
        <v>23.6</v>
      </c>
      <c r="D23">
        <v>3.91</v>
      </c>
      <c r="E23">
        <v>2.56</v>
      </c>
      <c r="F23">
        <v>22.9</v>
      </c>
      <c r="G23">
        <v>14.3</v>
      </c>
      <c r="H23">
        <v>29.5</v>
      </c>
      <c r="I23">
        <v>3.08</v>
      </c>
      <c r="J23">
        <v>34.6</v>
      </c>
      <c r="K23">
        <v>0.44600000000000001</v>
      </c>
      <c r="L23">
        <v>1.23</v>
      </c>
      <c r="M23">
        <v>2.46</v>
      </c>
      <c r="N23">
        <v>11.2</v>
      </c>
      <c r="O23">
        <v>1.99</v>
      </c>
      <c r="P23">
        <v>0.98399999999999999</v>
      </c>
      <c r="Q23">
        <f t="shared" si="0"/>
        <v>12.457333333333334</v>
      </c>
      <c r="R23">
        <f t="shared" si="1"/>
        <v>3.3507373497935617</v>
      </c>
    </row>
    <row r="24" spans="1:18" x14ac:dyDescent="0.25">
      <c r="A24" s="1">
        <v>45407.125</v>
      </c>
      <c r="B24">
        <v>5.88</v>
      </c>
      <c r="C24">
        <v>13.3</v>
      </c>
      <c r="D24">
        <v>1.68</v>
      </c>
      <c r="E24">
        <v>12.2</v>
      </c>
      <c r="F24">
        <v>6.73</v>
      </c>
      <c r="G24">
        <v>16.7</v>
      </c>
      <c r="H24">
        <v>17</v>
      </c>
      <c r="I24">
        <v>14.2</v>
      </c>
      <c r="J24">
        <v>5.87</v>
      </c>
      <c r="K24">
        <v>16.8</v>
      </c>
      <c r="L24">
        <v>2</v>
      </c>
      <c r="M24">
        <v>1.93</v>
      </c>
      <c r="N24">
        <v>26.4</v>
      </c>
      <c r="O24">
        <v>4.6899999999999997E-2</v>
      </c>
      <c r="P24">
        <v>1.1499999999999999</v>
      </c>
      <c r="Q24">
        <f t="shared" si="0"/>
        <v>9.459126666666668</v>
      </c>
      <c r="R24">
        <f t="shared" si="1"/>
        <v>2.021939239077335</v>
      </c>
    </row>
    <row r="25" spans="1:18" x14ac:dyDescent="0.25">
      <c r="A25" s="1">
        <v>45407.166666666664</v>
      </c>
      <c r="B25">
        <v>4.46</v>
      </c>
      <c r="C25">
        <v>7</v>
      </c>
      <c r="D25">
        <v>1.2</v>
      </c>
      <c r="E25">
        <v>12.3</v>
      </c>
      <c r="F25">
        <v>3.23</v>
      </c>
      <c r="G25">
        <v>0.33500000000000002</v>
      </c>
      <c r="H25">
        <v>4.72</v>
      </c>
      <c r="I25">
        <v>3.77</v>
      </c>
      <c r="J25">
        <v>0.80200000000000005</v>
      </c>
      <c r="K25">
        <v>28.2</v>
      </c>
      <c r="L25">
        <v>16</v>
      </c>
      <c r="M25">
        <v>3.98</v>
      </c>
      <c r="N25">
        <v>18.2</v>
      </c>
      <c r="O25">
        <v>34.6</v>
      </c>
      <c r="P25">
        <v>3.09</v>
      </c>
      <c r="Q25">
        <f t="shared" si="0"/>
        <v>9.4591333333333356</v>
      </c>
      <c r="R25">
        <f t="shared" si="1"/>
        <v>2.7011476200675935</v>
      </c>
    </row>
    <row r="26" spans="1:18" x14ac:dyDescent="0.25">
      <c r="A26" s="1">
        <v>45407.208333333336</v>
      </c>
      <c r="B26">
        <v>21.6</v>
      </c>
      <c r="C26">
        <v>27.2</v>
      </c>
      <c r="D26">
        <v>0.66200000000000003</v>
      </c>
      <c r="E26">
        <v>4.46</v>
      </c>
      <c r="F26">
        <v>28.2</v>
      </c>
      <c r="G26">
        <v>29</v>
      </c>
      <c r="H26">
        <v>2.36</v>
      </c>
      <c r="I26">
        <v>12.3</v>
      </c>
      <c r="J26">
        <v>0.53200000000000003</v>
      </c>
      <c r="K26">
        <v>2.4400000000000002E-2</v>
      </c>
      <c r="L26">
        <v>38.9</v>
      </c>
      <c r="M26">
        <v>4.1399999999999997</v>
      </c>
      <c r="N26">
        <v>0.307</v>
      </c>
      <c r="O26">
        <v>17.100000000000001</v>
      </c>
      <c r="P26">
        <v>27.7</v>
      </c>
      <c r="Q26">
        <f t="shared" si="0"/>
        <v>14.299026666666663</v>
      </c>
      <c r="R26">
        <f t="shared" si="1"/>
        <v>3.4800960975711814</v>
      </c>
    </row>
    <row r="27" spans="1:18" x14ac:dyDescent="0.25">
      <c r="A27" s="1">
        <v>45407.25</v>
      </c>
      <c r="B27">
        <v>22.4</v>
      </c>
      <c r="C27">
        <v>1.63</v>
      </c>
      <c r="D27">
        <v>33</v>
      </c>
      <c r="E27">
        <v>24.1</v>
      </c>
      <c r="F27">
        <v>5.01</v>
      </c>
      <c r="G27">
        <v>2.5099999999999998</v>
      </c>
      <c r="H27">
        <v>3.09</v>
      </c>
      <c r="I27">
        <v>16.7</v>
      </c>
      <c r="J27">
        <v>25.2</v>
      </c>
      <c r="K27">
        <v>30</v>
      </c>
      <c r="L27">
        <v>22.6</v>
      </c>
      <c r="M27">
        <v>33.299999999999997</v>
      </c>
      <c r="N27">
        <v>8.2200000000000006</v>
      </c>
      <c r="O27">
        <v>1.29</v>
      </c>
      <c r="P27">
        <v>0.40699999999999997</v>
      </c>
      <c r="Q27">
        <f t="shared" si="0"/>
        <v>15.297133333333335</v>
      </c>
      <c r="R27">
        <f t="shared" si="1"/>
        <v>3.2426613303723317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52CC-9A68-4A8E-9DBC-C634140D5A59}">
  <dimension ref="A1:R219"/>
  <sheetViews>
    <sheetView workbookViewId="0">
      <selection activeCell="P27" sqref="A1:P27"/>
    </sheetView>
  </sheetViews>
  <sheetFormatPr defaultColWidth="11" defaultRowHeight="15.75" x14ac:dyDescent="0.25"/>
  <cols>
    <col min="1" max="1" width="17.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1</v>
      </c>
      <c r="H1" t="s">
        <v>2</v>
      </c>
      <c r="I1" t="s">
        <v>5</v>
      </c>
      <c r="J1" t="s">
        <v>3</v>
      </c>
      <c r="K1" t="s">
        <v>4</v>
      </c>
      <c r="L1" t="s">
        <v>1</v>
      </c>
      <c r="M1" t="s">
        <v>2</v>
      </c>
      <c r="N1" t="s">
        <v>5</v>
      </c>
      <c r="O1" t="s">
        <v>3</v>
      </c>
      <c r="P1" t="s">
        <v>4</v>
      </c>
      <c r="Q1" t="s">
        <v>12</v>
      </c>
      <c r="R1" t="s">
        <v>13</v>
      </c>
    </row>
    <row r="2" spans="1:18" x14ac:dyDescent="0.25">
      <c r="B2" t="s">
        <v>6</v>
      </c>
      <c r="C2" t="s">
        <v>7</v>
      </c>
      <c r="D2" t="s">
        <v>10</v>
      </c>
      <c r="E2" t="s">
        <v>8</v>
      </c>
      <c r="F2" t="s">
        <v>9</v>
      </c>
      <c r="G2" t="s">
        <v>6</v>
      </c>
      <c r="H2" t="s">
        <v>7</v>
      </c>
      <c r="I2" t="s">
        <v>10</v>
      </c>
      <c r="J2" t="s">
        <v>8</v>
      </c>
      <c r="K2" t="s">
        <v>9</v>
      </c>
      <c r="L2" t="s">
        <v>6</v>
      </c>
      <c r="M2" t="s">
        <v>7</v>
      </c>
      <c r="N2" t="s">
        <v>10</v>
      </c>
      <c r="O2" t="s">
        <v>8</v>
      </c>
      <c r="P2" t="s">
        <v>9</v>
      </c>
    </row>
    <row r="3" spans="1:18" x14ac:dyDescent="0.25"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</row>
    <row r="4" spans="1:18" x14ac:dyDescent="0.25">
      <c r="A4" s="1">
        <v>45406.291666666664</v>
      </c>
      <c r="B4">
        <v>11.4</v>
      </c>
      <c r="C4">
        <v>6.97</v>
      </c>
      <c r="D4">
        <v>4.8499999999999996</v>
      </c>
      <c r="E4">
        <v>16.3</v>
      </c>
      <c r="F4">
        <v>2.65</v>
      </c>
      <c r="G4">
        <v>0.69399999999999995</v>
      </c>
      <c r="H4">
        <v>11.8</v>
      </c>
      <c r="I4">
        <v>20.399999999999999</v>
      </c>
      <c r="J4">
        <v>0.219</v>
      </c>
      <c r="K4">
        <v>2.4400000000000002E-2</v>
      </c>
      <c r="L4">
        <v>14.9</v>
      </c>
      <c r="M4">
        <v>5.81</v>
      </c>
      <c r="N4">
        <v>28.4</v>
      </c>
      <c r="O4">
        <v>0.69399999999999995</v>
      </c>
      <c r="P4">
        <v>2.4400000000000002E-2</v>
      </c>
      <c r="Q4">
        <f>AVERAGE(B4:P4)</f>
        <v>8.3423866666666662</v>
      </c>
      <c r="R4">
        <f>_xlfn.STDEV.S(B4:P4) / SQRT(COUNT(B4:P4))</f>
        <v>2.2356241211000669</v>
      </c>
    </row>
    <row r="5" spans="1:18" x14ac:dyDescent="0.25">
      <c r="A5" s="1">
        <v>45406.333333333336</v>
      </c>
      <c r="B5">
        <v>1.77</v>
      </c>
      <c r="C5">
        <v>4.17</v>
      </c>
      <c r="D5">
        <v>9.48</v>
      </c>
      <c r="E5">
        <v>0.35599999999999998</v>
      </c>
      <c r="F5">
        <v>3.9600000000000003E-2</v>
      </c>
      <c r="G5">
        <v>4.37</v>
      </c>
      <c r="H5">
        <v>4.21</v>
      </c>
      <c r="I5">
        <v>3.34</v>
      </c>
      <c r="J5">
        <v>2.4400000000000002E-2</v>
      </c>
      <c r="K5">
        <v>2.4400000000000002E-2</v>
      </c>
      <c r="L5">
        <v>2.4400000000000002E-2</v>
      </c>
      <c r="M5">
        <v>7.8</v>
      </c>
      <c r="N5">
        <v>0.114</v>
      </c>
      <c r="O5">
        <v>0.83</v>
      </c>
      <c r="P5">
        <v>2.3199999999999998</v>
      </c>
      <c r="Q5">
        <f t="shared" ref="Q5:Q27" si="0">AVERAGE(B5:P5)</f>
        <v>2.59152</v>
      </c>
      <c r="R5">
        <f t="shared" ref="R5:R27" si="1">_xlfn.STDEV.S(B5:P5) / SQRT(COUNT(B5:P5))</f>
        <v>0.77053953757833116</v>
      </c>
    </row>
    <row r="6" spans="1:18" x14ac:dyDescent="0.25">
      <c r="A6" s="1">
        <v>45406.375</v>
      </c>
      <c r="B6">
        <v>0.10299999999999999</v>
      </c>
      <c r="C6">
        <v>14.9</v>
      </c>
      <c r="D6">
        <v>2.5099999999999998</v>
      </c>
      <c r="E6">
        <v>2.4</v>
      </c>
      <c r="F6">
        <v>2.4400000000000002E-2</v>
      </c>
      <c r="G6">
        <v>3.28</v>
      </c>
      <c r="H6">
        <v>1.5</v>
      </c>
      <c r="I6">
        <v>2.85</v>
      </c>
      <c r="J6">
        <v>2.36</v>
      </c>
      <c r="K6">
        <v>0.68100000000000005</v>
      </c>
      <c r="L6">
        <v>0.45500000000000002</v>
      </c>
      <c r="M6">
        <v>1.41</v>
      </c>
      <c r="N6">
        <v>0.60899999999999999</v>
      </c>
      <c r="O6">
        <v>0.59699999999999998</v>
      </c>
      <c r="P6">
        <v>20.100000000000001</v>
      </c>
      <c r="Q6">
        <f t="shared" si="0"/>
        <v>3.5852933333333334</v>
      </c>
      <c r="R6">
        <f t="shared" si="1"/>
        <v>1.504537669960496</v>
      </c>
    </row>
    <row r="7" spans="1:18" x14ac:dyDescent="0.25">
      <c r="A7" s="1">
        <v>45406.416666666664</v>
      </c>
      <c r="B7">
        <v>2.5</v>
      </c>
      <c r="C7">
        <v>9.5500000000000007</v>
      </c>
      <c r="D7">
        <v>3.63</v>
      </c>
      <c r="E7">
        <v>3.89</v>
      </c>
      <c r="F7">
        <v>6.67</v>
      </c>
      <c r="G7">
        <v>0.41299999999999998</v>
      </c>
      <c r="H7">
        <v>21.1</v>
      </c>
      <c r="I7">
        <v>41.1</v>
      </c>
      <c r="J7">
        <v>2.4400000000000002E-2</v>
      </c>
      <c r="K7">
        <v>0.26300000000000001</v>
      </c>
      <c r="L7">
        <v>5.17</v>
      </c>
      <c r="M7">
        <v>14.3</v>
      </c>
      <c r="N7">
        <v>13.7</v>
      </c>
      <c r="O7">
        <v>2.59</v>
      </c>
      <c r="P7">
        <v>3.18</v>
      </c>
      <c r="Q7">
        <f t="shared" si="0"/>
        <v>8.5386933333333346</v>
      </c>
      <c r="R7">
        <f t="shared" si="1"/>
        <v>2.8005109021555437</v>
      </c>
    </row>
    <row r="8" spans="1:18" x14ac:dyDescent="0.25">
      <c r="A8" s="1">
        <v>45406.458333333336</v>
      </c>
      <c r="B8">
        <v>23.1</v>
      </c>
      <c r="C8">
        <v>1.31</v>
      </c>
      <c r="D8">
        <v>2.91</v>
      </c>
      <c r="E8">
        <v>32.700000000000003</v>
      </c>
      <c r="F8">
        <v>17.399999999999999</v>
      </c>
      <c r="G8">
        <v>12.2</v>
      </c>
      <c r="H8">
        <v>2.08</v>
      </c>
      <c r="I8">
        <v>20</v>
      </c>
      <c r="J8">
        <v>1</v>
      </c>
      <c r="K8">
        <v>2.4400000000000002E-2</v>
      </c>
      <c r="L8">
        <v>12.2</v>
      </c>
      <c r="M8">
        <v>9.99</v>
      </c>
      <c r="N8">
        <v>0.18099999999999999</v>
      </c>
      <c r="O8">
        <v>19.3</v>
      </c>
      <c r="P8">
        <v>28.2</v>
      </c>
      <c r="Q8">
        <f t="shared" si="0"/>
        <v>12.173026666666667</v>
      </c>
      <c r="R8">
        <f t="shared" si="1"/>
        <v>2.8146516175772365</v>
      </c>
    </row>
    <row r="9" spans="1:18" x14ac:dyDescent="0.25">
      <c r="A9" s="1">
        <v>45406.5</v>
      </c>
      <c r="B9">
        <v>4.1399999999999997</v>
      </c>
      <c r="C9">
        <v>2.0499999999999998</v>
      </c>
      <c r="D9">
        <v>2.4700000000000002</v>
      </c>
      <c r="E9">
        <v>2.21</v>
      </c>
      <c r="F9">
        <v>8.3000000000000004E-2</v>
      </c>
      <c r="G9">
        <v>0.81</v>
      </c>
      <c r="H9">
        <v>1.44</v>
      </c>
      <c r="I9">
        <v>3.39E-2</v>
      </c>
      <c r="J9">
        <v>2.52</v>
      </c>
      <c r="K9">
        <v>0.95199999999999996</v>
      </c>
      <c r="L9">
        <v>0.60299999999999998</v>
      </c>
      <c r="M9">
        <v>1.42</v>
      </c>
      <c r="N9">
        <v>0.68799999999999994</v>
      </c>
      <c r="O9">
        <v>0.19800000000000001</v>
      </c>
      <c r="P9">
        <v>0.27800000000000002</v>
      </c>
      <c r="Q9">
        <f t="shared" si="0"/>
        <v>1.3263933333333333</v>
      </c>
      <c r="R9">
        <f t="shared" si="1"/>
        <v>0.30001265123588916</v>
      </c>
    </row>
    <row r="10" spans="1:18" x14ac:dyDescent="0.25">
      <c r="A10" s="1">
        <v>45406.541666666664</v>
      </c>
      <c r="B10">
        <v>9.48</v>
      </c>
      <c r="C10">
        <v>2.12</v>
      </c>
      <c r="D10">
        <v>9.98</v>
      </c>
      <c r="E10">
        <v>0.153</v>
      </c>
      <c r="F10">
        <v>2.56</v>
      </c>
      <c r="G10">
        <v>1.18</v>
      </c>
      <c r="H10">
        <v>24.8</v>
      </c>
      <c r="I10">
        <v>0.80400000000000005</v>
      </c>
      <c r="J10">
        <v>8.85</v>
      </c>
      <c r="K10">
        <v>2.4400000000000002E-2</v>
      </c>
      <c r="L10">
        <v>0.82099999999999995</v>
      </c>
      <c r="M10">
        <v>1.34</v>
      </c>
      <c r="N10">
        <v>0.60799999999999998</v>
      </c>
      <c r="O10">
        <v>2.4400000000000002E-2</v>
      </c>
      <c r="P10">
        <v>0.66900000000000004</v>
      </c>
      <c r="Q10">
        <f t="shared" si="0"/>
        <v>4.2275866666666664</v>
      </c>
      <c r="R10">
        <f t="shared" si="1"/>
        <v>1.7336230248176154</v>
      </c>
    </row>
    <row r="11" spans="1:18" x14ac:dyDescent="0.25">
      <c r="A11" s="1">
        <v>45406.583333333336</v>
      </c>
      <c r="B11">
        <v>8.42</v>
      </c>
      <c r="C11">
        <v>14.2</v>
      </c>
      <c r="D11">
        <v>2.63</v>
      </c>
      <c r="E11">
        <v>12.6</v>
      </c>
      <c r="F11">
        <v>16.600000000000001</v>
      </c>
      <c r="G11">
        <v>5.85</v>
      </c>
      <c r="H11">
        <v>6.01</v>
      </c>
      <c r="I11">
        <v>2.62</v>
      </c>
      <c r="J11">
        <v>1.71</v>
      </c>
      <c r="K11">
        <v>4.4000000000000004</v>
      </c>
      <c r="L11">
        <v>2.06</v>
      </c>
      <c r="M11">
        <v>20.2</v>
      </c>
      <c r="N11">
        <v>2.4400000000000002E-2</v>
      </c>
      <c r="O11">
        <v>17.2</v>
      </c>
      <c r="P11">
        <v>0.20100000000000001</v>
      </c>
      <c r="Q11">
        <f t="shared" si="0"/>
        <v>7.6483600000000003</v>
      </c>
      <c r="R11">
        <f t="shared" si="1"/>
        <v>1.7511463402120608</v>
      </c>
    </row>
    <row r="12" spans="1:18" x14ac:dyDescent="0.25">
      <c r="A12" s="1">
        <v>45406.625</v>
      </c>
      <c r="B12">
        <v>11.1</v>
      </c>
      <c r="C12">
        <v>1.22</v>
      </c>
      <c r="D12">
        <v>3.79</v>
      </c>
      <c r="E12">
        <v>1.21</v>
      </c>
      <c r="F12">
        <v>6.83</v>
      </c>
      <c r="G12">
        <v>7.61</v>
      </c>
      <c r="H12">
        <v>10.9</v>
      </c>
      <c r="I12">
        <v>1.1299999999999999</v>
      </c>
      <c r="J12">
        <v>6.2100000000000002E-2</v>
      </c>
      <c r="K12">
        <v>15</v>
      </c>
      <c r="L12">
        <v>1.23</v>
      </c>
      <c r="M12">
        <v>1.45</v>
      </c>
      <c r="N12">
        <v>1.86</v>
      </c>
      <c r="O12">
        <v>0.73199999999999998</v>
      </c>
      <c r="P12">
        <v>8.2199999999999995E-2</v>
      </c>
      <c r="Q12">
        <f t="shared" si="0"/>
        <v>4.2804200000000003</v>
      </c>
      <c r="R12">
        <f t="shared" si="1"/>
        <v>1.2401344139975119</v>
      </c>
    </row>
    <row r="13" spans="1:18" x14ac:dyDescent="0.25">
      <c r="A13" s="1">
        <v>45406.666666666664</v>
      </c>
      <c r="B13">
        <v>6.61</v>
      </c>
      <c r="C13">
        <v>8.15</v>
      </c>
      <c r="D13">
        <v>2.42</v>
      </c>
      <c r="E13">
        <v>2.4400000000000002E-2</v>
      </c>
      <c r="F13">
        <v>3.33</v>
      </c>
      <c r="G13">
        <v>8.83</v>
      </c>
      <c r="H13">
        <v>18.7</v>
      </c>
      <c r="I13">
        <v>3.47</v>
      </c>
      <c r="J13">
        <v>7.74</v>
      </c>
      <c r="K13">
        <v>0.36199999999999999</v>
      </c>
      <c r="L13">
        <v>0.67300000000000004</v>
      </c>
      <c r="M13">
        <v>4.04</v>
      </c>
      <c r="N13">
        <v>27.4</v>
      </c>
      <c r="O13">
        <v>0.56399999999999995</v>
      </c>
      <c r="P13">
        <v>0.995</v>
      </c>
      <c r="Q13">
        <f t="shared" si="0"/>
        <v>6.2205600000000008</v>
      </c>
      <c r="R13">
        <f t="shared" si="1"/>
        <v>1.9702683992361474</v>
      </c>
    </row>
    <row r="14" spans="1:18" x14ac:dyDescent="0.25">
      <c r="A14" s="1">
        <v>45406.708333333336</v>
      </c>
      <c r="B14">
        <v>17.8</v>
      </c>
      <c r="C14">
        <v>11.4</v>
      </c>
      <c r="D14">
        <v>32</v>
      </c>
      <c r="E14">
        <v>8.91</v>
      </c>
      <c r="F14">
        <v>4.2300000000000004</v>
      </c>
      <c r="G14">
        <v>12.7</v>
      </c>
      <c r="H14">
        <v>21.9</v>
      </c>
      <c r="I14">
        <v>2.8400000000000002E-2</v>
      </c>
      <c r="J14">
        <v>9.81</v>
      </c>
      <c r="K14">
        <v>24</v>
      </c>
      <c r="L14">
        <v>15</v>
      </c>
      <c r="M14">
        <v>14.7</v>
      </c>
      <c r="N14">
        <v>4.32</v>
      </c>
      <c r="O14">
        <v>2.4400000000000002E-2</v>
      </c>
      <c r="P14">
        <v>0.21</v>
      </c>
      <c r="Q14">
        <f t="shared" si="0"/>
        <v>11.802186666666667</v>
      </c>
      <c r="R14">
        <f t="shared" si="1"/>
        <v>2.4413509630426362</v>
      </c>
    </row>
    <row r="15" spans="1:18" x14ac:dyDescent="0.25">
      <c r="A15" s="1">
        <v>45406.75</v>
      </c>
      <c r="B15">
        <v>9.35</v>
      </c>
      <c r="C15">
        <v>5.84</v>
      </c>
      <c r="D15">
        <v>1.78</v>
      </c>
      <c r="E15">
        <v>12.9</v>
      </c>
      <c r="F15">
        <v>2.4400000000000002E-2</v>
      </c>
      <c r="G15">
        <v>5.21</v>
      </c>
      <c r="H15">
        <v>3.67</v>
      </c>
      <c r="I15">
        <v>9.18</v>
      </c>
      <c r="J15">
        <v>0.41299999999999998</v>
      </c>
      <c r="K15">
        <v>2.38</v>
      </c>
      <c r="L15">
        <v>0.41299999999999998</v>
      </c>
      <c r="M15">
        <v>1.55</v>
      </c>
      <c r="N15">
        <v>0.89500000000000002</v>
      </c>
      <c r="O15">
        <v>16.2</v>
      </c>
      <c r="P15">
        <v>14.9</v>
      </c>
      <c r="Q15">
        <f t="shared" si="0"/>
        <v>5.6470266666666662</v>
      </c>
      <c r="R15">
        <f t="shared" si="1"/>
        <v>1.4331415803341061</v>
      </c>
    </row>
    <row r="16" spans="1:18" x14ac:dyDescent="0.25">
      <c r="A16" s="1">
        <v>45406.791666666664</v>
      </c>
      <c r="B16">
        <v>29.3</v>
      </c>
      <c r="C16">
        <v>15.1</v>
      </c>
      <c r="D16">
        <v>11.5</v>
      </c>
      <c r="E16">
        <v>0.73399999999999999</v>
      </c>
      <c r="F16">
        <v>1.63</v>
      </c>
      <c r="G16">
        <v>4.38</v>
      </c>
      <c r="H16">
        <v>1.67</v>
      </c>
      <c r="I16">
        <v>0.68400000000000005</v>
      </c>
      <c r="J16">
        <v>17.600000000000001</v>
      </c>
      <c r="K16">
        <v>1.4</v>
      </c>
      <c r="L16">
        <v>8.99</v>
      </c>
      <c r="M16">
        <v>2.85</v>
      </c>
      <c r="N16">
        <v>0.26800000000000002</v>
      </c>
      <c r="O16">
        <v>0.23200000000000001</v>
      </c>
      <c r="P16">
        <v>3.49</v>
      </c>
      <c r="Q16">
        <f t="shared" si="0"/>
        <v>6.6551999999999998</v>
      </c>
      <c r="R16">
        <f t="shared" si="1"/>
        <v>2.1745058052676836</v>
      </c>
    </row>
    <row r="17" spans="1:18" x14ac:dyDescent="0.25">
      <c r="A17" s="1">
        <v>45406.833333333336</v>
      </c>
      <c r="B17">
        <v>58.2</v>
      </c>
      <c r="C17">
        <v>10.7</v>
      </c>
      <c r="D17">
        <v>20.6</v>
      </c>
      <c r="E17">
        <v>2.02</v>
      </c>
      <c r="F17">
        <v>10</v>
      </c>
      <c r="G17">
        <v>3.49</v>
      </c>
      <c r="H17">
        <v>7.51</v>
      </c>
      <c r="I17">
        <v>0.51700000000000002</v>
      </c>
      <c r="J17">
        <v>0.93700000000000006</v>
      </c>
      <c r="K17">
        <v>3.5</v>
      </c>
      <c r="L17">
        <v>24</v>
      </c>
      <c r="M17">
        <v>4.05</v>
      </c>
      <c r="N17">
        <v>10.199999999999999</v>
      </c>
      <c r="O17">
        <v>0.155</v>
      </c>
      <c r="P17">
        <v>0.26400000000000001</v>
      </c>
      <c r="Q17">
        <f t="shared" si="0"/>
        <v>10.409533333333334</v>
      </c>
      <c r="R17">
        <f t="shared" si="1"/>
        <v>3.8934048727934867</v>
      </c>
    </row>
    <row r="18" spans="1:18" x14ac:dyDescent="0.25">
      <c r="A18" s="1">
        <v>45406.875</v>
      </c>
      <c r="B18">
        <v>44.3</v>
      </c>
      <c r="C18">
        <v>19</v>
      </c>
      <c r="D18">
        <v>2.66</v>
      </c>
      <c r="E18">
        <v>15.2</v>
      </c>
      <c r="F18">
        <v>8.02</v>
      </c>
      <c r="G18">
        <v>23.7</v>
      </c>
      <c r="H18">
        <v>13.8</v>
      </c>
      <c r="I18">
        <v>13.1</v>
      </c>
      <c r="J18">
        <v>0.13500000000000001</v>
      </c>
      <c r="K18">
        <v>0.54200000000000004</v>
      </c>
      <c r="L18">
        <v>33.799999999999997</v>
      </c>
      <c r="M18">
        <v>15.8</v>
      </c>
      <c r="N18">
        <v>4.07</v>
      </c>
      <c r="O18">
        <v>13.7</v>
      </c>
      <c r="P18">
        <v>8.66</v>
      </c>
      <c r="Q18">
        <f t="shared" si="0"/>
        <v>14.432466666666667</v>
      </c>
      <c r="R18">
        <f t="shared" si="1"/>
        <v>3.1599179297158471</v>
      </c>
    </row>
    <row r="19" spans="1:18" x14ac:dyDescent="0.25">
      <c r="A19" s="1">
        <v>45406.916666666664</v>
      </c>
      <c r="B19">
        <v>20.6</v>
      </c>
      <c r="C19">
        <v>27</v>
      </c>
      <c r="D19">
        <v>9.66</v>
      </c>
      <c r="E19">
        <v>7.4</v>
      </c>
      <c r="F19">
        <v>15.6</v>
      </c>
      <c r="G19">
        <v>14.2</v>
      </c>
      <c r="H19">
        <v>2.79</v>
      </c>
      <c r="I19">
        <v>17.2</v>
      </c>
      <c r="J19">
        <v>0.877</v>
      </c>
      <c r="K19">
        <v>11.7</v>
      </c>
      <c r="L19">
        <v>0.629</v>
      </c>
      <c r="M19">
        <v>9.94</v>
      </c>
      <c r="N19">
        <v>40.6</v>
      </c>
      <c r="O19">
        <v>12.4</v>
      </c>
      <c r="P19">
        <v>19.7</v>
      </c>
      <c r="Q19">
        <f t="shared" si="0"/>
        <v>14.019733333333335</v>
      </c>
      <c r="R19">
        <f t="shared" si="1"/>
        <v>2.6981777174457262</v>
      </c>
    </row>
    <row r="20" spans="1:18" x14ac:dyDescent="0.25">
      <c r="A20" s="1">
        <v>45406.958333333336</v>
      </c>
      <c r="B20">
        <v>4.84</v>
      </c>
      <c r="C20">
        <v>5.18</v>
      </c>
      <c r="D20">
        <v>12.6</v>
      </c>
      <c r="E20">
        <v>29</v>
      </c>
      <c r="F20">
        <v>17</v>
      </c>
      <c r="G20">
        <v>10.1</v>
      </c>
      <c r="H20">
        <v>25.2</v>
      </c>
      <c r="I20">
        <v>24.4</v>
      </c>
      <c r="J20">
        <v>7.58</v>
      </c>
      <c r="K20">
        <v>12.9</v>
      </c>
      <c r="L20">
        <v>19.899999999999999</v>
      </c>
      <c r="M20">
        <v>13</v>
      </c>
      <c r="N20">
        <v>17.7</v>
      </c>
      <c r="O20">
        <v>17.5</v>
      </c>
      <c r="P20">
        <v>18.2</v>
      </c>
      <c r="Q20">
        <f t="shared" si="0"/>
        <v>15.673333333333334</v>
      </c>
      <c r="R20">
        <f t="shared" si="1"/>
        <v>1.859702655871085</v>
      </c>
    </row>
    <row r="21" spans="1:18" x14ac:dyDescent="0.25">
      <c r="A21" s="1">
        <v>45407</v>
      </c>
      <c r="B21">
        <v>14.3</v>
      </c>
      <c r="C21">
        <v>4.96</v>
      </c>
      <c r="D21">
        <v>2.74</v>
      </c>
      <c r="E21">
        <v>28.3</v>
      </c>
      <c r="F21">
        <v>2.4400000000000002E-2</v>
      </c>
      <c r="G21">
        <v>23.4</v>
      </c>
      <c r="H21">
        <v>11.2</v>
      </c>
      <c r="I21">
        <v>3.9300000000000002E-2</v>
      </c>
      <c r="J21">
        <v>18.8</v>
      </c>
      <c r="K21">
        <v>30.2</v>
      </c>
      <c r="L21">
        <v>10.4</v>
      </c>
      <c r="M21">
        <v>11.1</v>
      </c>
      <c r="N21">
        <v>21.9</v>
      </c>
      <c r="O21">
        <v>13</v>
      </c>
      <c r="P21">
        <v>0.106</v>
      </c>
      <c r="Q21">
        <f t="shared" si="0"/>
        <v>12.697979999999999</v>
      </c>
      <c r="R21">
        <f t="shared" si="1"/>
        <v>2.6162333289747104</v>
      </c>
    </row>
    <row r="22" spans="1:18" x14ac:dyDescent="0.25">
      <c r="A22" s="1">
        <v>45407.041666666664</v>
      </c>
      <c r="B22">
        <v>14.3</v>
      </c>
      <c r="C22">
        <v>24.4</v>
      </c>
      <c r="D22">
        <v>28.8</v>
      </c>
      <c r="E22">
        <v>29.6</v>
      </c>
      <c r="F22">
        <v>1.43</v>
      </c>
      <c r="G22">
        <v>2.4400000000000002E-2</v>
      </c>
      <c r="H22">
        <v>2.4700000000000002</v>
      </c>
      <c r="I22">
        <v>18.399999999999999</v>
      </c>
      <c r="J22">
        <v>22.7</v>
      </c>
      <c r="K22">
        <v>22.3</v>
      </c>
      <c r="L22">
        <v>21.5</v>
      </c>
      <c r="M22">
        <v>26.4</v>
      </c>
      <c r="N22">
        <v>1.28</v>
      </c>
      <c r="O22">
        <v>8.6300000000000008</v>
      </c>
      <c r="P22">
        <v>26.7</v>
      </c>
      <c r="Q22">
        <f t="shared" si="0"/>
        <v>16.595626666666664</v>
      </c>
      <c r="R22">
        <f t="shared" si="1"/>
        <v>2.8298824882798606</v>
      </c>
    </row>
    <row r="23" spans="1:18" x14ac:dyDescent="0.25">
      <c r="A23" s="1">
        <v>45407.083333333336</v>
      </c>
      <c r="B23">
        <v>8.08</v>
      </c>
      <c r="C23">
        <v>16.899999999999999</v>
      </c>
      <c r="D23">
        <v>7.91</v>
      </c>
      <c r="E23">
        <v>6.84</v>
      </c>
      <c r="F23">
        <v>25.8</v>
      </c>
      <c r="G23">
        <v>31.1</v>
      </c>
      <c r="H23">
        <v>9</v>
      </c>
      <c r="I23">
        <v>8.66</v>
      </c>
      <c r="J23">
        <v>4.8600000000000003</v>
      </c>
      <c r="K23">
        <v>3.32</v>
      </c>
      <c r="L23">
        <v>14.2</v>
      </c>
      <c r="M23">
        <v>1.45</v>
      </c>
      <c r="N23">
        <v>9.58</v>
      </c>
      <c r="O23">
        <v>3.52</v>
      </c>
      <c r="P23">
        <v>20.9</v>
      </c>
      <c r="Q23">
        <f t="shared" si="0"/>
        <v>11.474666666666668</v>
      </c>
      <c r="R23">
        <f t="shared" si="1"/>
        <v>2.239725082335875</v>
      </c>
    </row>
    <row r="24" spans="1:18" x14ac:dyDescent="0.25">
      <c r="A24" s="1">
        <v>45407.125</v>
      </c>
      <c r="B24">
        <v>33</v>
      </c>
      <c r="C24">
        <v>5.78</v>
      </c>
      <c r="D24">
        <v>8.67</v>
      </c>
      <c r="E24">
        <v>0.31</v>
      </c>
      <c r="F24">
        <v>7.69</v>
      </c>
      <c r="G24">
        <v>2.4400000000000002E-2</v>
      </c>
      <c r="H24">
        <v>37</v>
      </c>
      <c r="I24">
        <v>0.72799999999999998</v>
      </c>
      <c r="J24">
        <v>14.1</v>
      </c>
      <c r="K24">
        <v>27.5</v>
      </c>
      <c r="L24">
        <v>12.9</v>
      </c>
      <c r="M24">
        <v>10.199999999999999</v>
      </c>
      <c r="N24">
        <v>35.799999999999997</v>
      </c>
      <c r="O24">
        <v>0.747</v>
      </c>
      <c r="P24">
        <v>3.27E-2</v>
      </c>
      <c r="Q24">
        <f t="shared" si="0"/>
        <v>12.965473333333332</v>
      </c>
      <c r="R24">
        <f t="shared" si="1"/>
        <v>3.5271036791229338</v>
      </c>
    </row>
    <row r="25" spans="1:18" x14ac:dyDescent="0.25">
      <c r="A25" s="1">
        <v>45407.166666666664</v>
      </c>
      <c r="B25">
        <v>0.79400000000000004</v>
      </c>
      <c r="C25">
        <v>2.76</v>
      </c>
      <c r="D25">
        <v>17.5</v>
      </c>
      <c r="E25">
        <v>0.35899999999999999</v>
      </c>
      <c r="F25">
        <v>2.4400000000000002E-2</v>
      </c>
      <c r="G25">
        <v>27</v>
      </c>
      <c r="H25">
        <v>11.8</v>
      </c>
      <c r="I25">
        <v>7.23</v>
      </c>
      <c r="J25">
        <v>15.9</v>
      </c>
      <c r="K25">
        <v>16.3</v>
      </c>
      <c r="L25">
        <v>5.95</v>
      </c>
      <c r="M25">
        <v>2.81</v>
      </c>
      <c r="N25">
        <v>0.113</v>
      </c>
      <c r="O25">
        <v>0.38900000000000001</v>
      </c>
      <c r="P25">
        <v>22.2</v>
      </c>
      <c r="Q25">
        <f t="shared" si="0"/>
        <v>8.7419600000000006</v>
      </c>
      <c r="R25">
        <f t="shared" si="1"/>
        <v>2.3336208660281348</v>
      </c>
    </row>
    <row r="26" spans="1:18" x14ac:dyDescent="0.25">
      <c r="A26" s="1">
        <v>45407.208333333336</v>
      </c>
      <c r="B26">
        <v>4.59</v>
      </c>
      <c r="C26">
        <v>27</v>
      </c>
      <c r="D26">
        <v>22.3</v>
      </c>
      <c r="E26">
        <v>12.7</v>
      </c>
      <c r="F26">
        <v>1.66</v>
      </c>
      <c r="G26">
        <v>16.100000000000001</v>
      </c>
      <c r="H26">
        <v>1.68</v>
      </c>
      <c r="I26">
        <v>42.7</v>
      </c>
      <c r="J26">
        <v>13.9</v>
      </c>
      <c r="K26">
        <v>10.5</v>
      </c>
      <c r="L26">
        <v>25.9</v>
      </c>
      <c r="M26">
        <v>12.6</v>
      </c>
      <c r="N26">
        <v>30.6</v>
      </c>
      <c r="O26">
        <v>0.88900000000000001</v>
      </c>
      <c r="P26">
        <v>12.3</v>
      </c>
      <c r="Q26">
        <f t="shared" si="0"/>
        <v>15.694600000000003</v>
      </c>
      <c r="R26">
        <f t="shared" si="1"/>
        <v>3.1040598481589208</v>
      </c>
    </row>
    <row r="27" spans="1:18" x14ac:dyDescent="0.25">
      <c r="A27" s="1">
        <v>45407.25</v>
      </c>
      <c r="B27">
        <v>15.8</v>
      </c>
      <c r="C27">
        <v>5.19</v>
      </c>
      <c r="D27">
        <v>11.8</v>
      </c>
      <c r="E27">
        <v>6.4000000000000001E-2</v>
      </c>
      <c r="F27">
        <v>0.40500000000000003</v>
      </c>
      <c r="G27">
        <v>2.13</v>
      </c>
      <c r="H27">
        <v>2.96</v>
      </c>
      <c r="I27">
        <v>1.17</v>
      </c>
      <c r="J27">
        <v>7.99</v>
      </c>
      <c r="K27">
        <v>6.78</v>
      </c>
      <c r="L27">
        <v>31.6</v>
      </c>
      <c r="M27">
        <v>4.6100000000000003</v>
      </c>
      <c r="N27">
        <v>31.6</v>
      </c>
      <c r="O27">
        <v>27.4</v>
      </c>
      <c r="P27">
        <v>2.4400000000000002E-2</v>
      </c>
      <c r="Q27">
        <f t="shared" si="0"/>
        <v>9.9682266666666699</v>
      </c>
      <c r="R27">
        <f t="shared" si="1"/>
        <v>2.9432001316912335</v>
      </c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D77C-FE04-4612-870C-F11F555C61BC}">
  <dimension ref="A1:U236"/>
  <sheetViews>
    <sheetView workbookViewId="0">
      <selection activeCell="B1" sqref="B1:S27"/>
    </sheetView>
  </sheetViews>
  <sheetFormatPr defaultColWidth="11" defaultRowHeight="15.75" x14ac:dyDescent="0.25"/>
  <cols>
    <col min="1" max="1" width="12.375" bestFit="1" customWidth="1"/>
  </cols>
  <sheetData>
    <row r="1" spans="1:21" x14ac:dyDescent="0.25">
      <c r="A1" t="s">
        <v>0</v>
      </c>
      <c r="B1" t="s">
        <v>14</v>
      </c>
      <c r="C1">
        <v>536</v>
      </c>
      <c r="D1" t="s">
        <v>15</v>
      </c>
      <c r="E1" t="s">
        <v>16</v>
      </c>
      <c r="F1" t="s">
        <v>17</v>
      </c>
      <c r="G1" t="s">
        <v>18</v>
      </c>
      <c r="H1" t="s">
        <v>14</v>
      </c>
      <c r="I1">
        <v>536</v>
      </c>
      <c r="J1" t="s">
        <v>15</v>
      </c>
      <c r="K1" t="s">
        <v>16</v>
      </c>
      <c r="L1" t="s">
        <v>17</v>
      </c>
      <c r="M1" t="s">
        <v>18</v>
      </c>
      <c r="N1" t="s">
        <v>14</v>
      </c>
      <c r="O1">
        <v>536</v>
      </c>
      <c r="P1" t="s">
        <v>15</v>
      </c>
      <c r="Q1" t="s">
        <v>16</v>
      </c>
      <c r="R1" t="s">
        <v>17</v>
      </c>
      <c r="S1" t="s">
        <v>18</v>
      </c>
    </row>
    <row r="2" spans="1:21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</row>
    <row r="3" spans="1:21" x14ac:dyDescent="0.25"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12</v>
      </c>
      <c r="U3" t="s">
        <v>13</v>
      </c>
    </row>
    <row r="4" spans="1:21" x14ac:dyDescent="0.25">
      <c r="A4" s="1">
        <v>45406.291666666664</v>
      </c>
      <c r="B4">
        <v>25.3</v>
      </c>
      <c r="C4">
        <v>0.73</v>
      </c>
      <c r="D4">
        <v>7.79</v>
      </c>
      <c r="E4">
        <v>17.2</v>
      </c>
      <c r="F4">
        <v>0.78</v>
      </c>
      <c r="G4">
        <v>19.5</v>
      </c>
      <c r="H4">
        <v>1.42</v>
      </c>
      <c r="I4">
        <v>2.4400000000000002E-2</v>
      </c>
      <c r="J4">
        <v>0.50600000000000001</v>
      </c>
      <c r="K4">
        <v>5</v>
      </c>
      <c r="L4">
        <v>12.1</v>
      </c>
      <c r="M4">
        <v>15.2</v>
      </c>
      <c r="N4">
        <v>30.4</v>
      </c>
      <c r="O4">
        <v>1.78</v>
      </c>
      <c r="P4">
        <v>1.94</v>
      </c>
      <c r="Q4">
        <v>15.7</v>
      </c>
      <c r="R4">
        <v>3.6</v>
      </c>
      <c r="S4">
        <v>11.3</v>
      </c>
      <c r="T4">
        <f>AVERAGE(E4:S4)</f>
        <v>9.0966933333333326</v>
      </c>
      <c r="U4">
        <f>_xlfn.STDEV.S(E4:S4) / SQRT(COUNT(E4:S4))</f>
        <v>2.3486632341350635</v>
      </c>
    </row>
    <row r="5" spans="1:21" x14ac:dyDescent="0.25">
      <c r="A5" s="1">
        <v>45406.333333333336</v>
      </c>
      <c r="B5">
        <v>1.6</v>
      </c>
      <c r="C5">
        <v>0.66600000000000004</v>
      </c>
      <c r="D5">
        <v>2.08</v>
      </c>
      <c r="E5">
        <v>4</v>
      </c>
      <c r="F5">
        <v>7.66</v>
      </c>
      <c r="G5">
        <v>14</v>
      </c>
      <c r="H5">
        <v>3.96</v>
      </c>
      <c r="I5">
        <v>13.7</v>
      </c>
      <c r="J5">
        <v>2.77</v>
      </c>
      <c r="K5">
        <v>1.23</v>
      </c>
      <c r="L5">
        <v>2.77</v>
      </c>
      <c r="M5">
        <v>3.12</v>
      </c>
      <c r="N5">
        <v>1.23</v>
      </c>
      <c r="O5">
        <v>1.18</v>
      </c>
      <c r="P5">
        <v>3</v>
      </c>
      <c r="Q5">
        <v>1.29</v>
      </c>
      <c r="R5">
        <v>0.20200000000000001</v>
      </c>
      <c r="S5">
        <v>3.26</v>
      </c>
      <c r="T5">
        <f t="shared" ref="T5:T27" si="0">AVERAGE(E5:S5)</f>
        <v>4.2247999999999992</v>
      </c>
      <c r="U5">
        <f t="shared" ref="U5:U27" si="1">_xlfn.STDEV.S(E5:S5) / SQRT(COUNT(E5:S5))</f>
        <v>1.1065692980688431</v>
      </c>
    </row>
    <row r="6" spans="1:21" x14ac:dyDescent="0.25">
      <c r="A6" s="1">
        <v>45406.375</v>
      </c>
      <c r="B6">
        <v>0.83699999999999997</v>
      </c>
      <c r="C6">
        <v>5.31</v>
      </c>
      <c r="D6">
        <v>4.13</v>
      </c>
      <c r="E6">
        <v>4.33</v>
      </c>
      <c r="F6">
        <v>2.34</v>
      </c>
      <c r="G6">
        <v>6.49</v>
      </c>
      <c r="H6">
        <v>1.96</v>
      </c>
      <c r="I6">
        <v>2.4400000000000002E-2</v>
      </c>
      <c r="J6">
        <v>0.98199999999999998</v>
      </c>
      <c r="K6">
        <v>14.3</v>
      </c>
      <c r="L6">
        <v>0.13400000000000001</v>
      </c>
      <c r="M6">
        <v>7.5</v>
      </c>
      <c r="N6">
        <v>1.34</v>
      </c>
      <c r="O6">
        <v>27.6</v>
      </c>
      <c r="P6">
        <v>0.59599999999999997</v>
      </c>
      <c r="Q6">
        <v>7.01</v>
      </c>
      <c r="R6">
        <v>3.3</v>
      </c>
      <c r="S6">
        <v>1.44</v>
      </c>
      <c r="T6">
        <f t="shared" si="0"/>
        <v>5.2897600000000011</v>
      </c>
      <c r="U6">
        <f t="shared" si="1"/>
        <v>1.8748970492320496</v>
      </c>
    </row>
    <row r="7" spans="1:21" x14ac:dyDescent="0.25">
      <c r="A7" s="1">
        <v>45406.416666666664</v>
      </c>
      <c r="B7">
        <v>0.93600000000000005</v>
      </c>
      <c r="C7">
        <v>29.5</v>
      </c>
      <c r="D7">
        <v>0.13100000000000001</v>
      </c>
      <c r="E7">
        <v>7.24</v>
      </c>
      <c r="F7">
        <v>2.04</v>
      </c>
      <c r="G7">
        <v>2.11</v>
      </c>
      <c r="H7">
        <v>10.8</v>
      </c>
      <c r="I7">
        <v>0.30199999999999999</v>
      </c>
      <c r="J7">
        <v>6.7599999999999993E-2</v>
      </c>
      <c r="K7">
        <v>1.66</v>
      </c>
      <c r="L7">
        <v>19.7</v>
      </c>
      <c r="M7">
        <v>4.34</v>
      </c>
      <c r="N7">
        <v>4.7699999999999996</v>
      </c>
      <c r="O7">
        <v>8.26</v>
      </c>
      <c r="P7">
        <v>7.42</v>
      </c>
      <c r="Q7">
        <v>11</v>
      </c>
      <c r="R7">
        <v>20.6</v>
      </c>
      <c r="S7">
        <v>11</v>
      </c>
      <c r="T7">
        <f t="shared" si="0"/>
        <v>7.4206399999999997</v>
      </c>
      <c r="U7">
        <f t="shared" si="1"/>
        <v>1.6530731894262882</v>
      </c>
    </row>
    <row r="8" spans="1:21" x14ac:dyDescent="0.25">
      <c r="A8" s="1">
        <v>45406.458333333336</v>
      </c>
      <c r="B8">
        <v>2.76</v>
      </c>
      <c r="C8">
        <v>0.59699999999999998</v>
      </c>
      <c r="D8">
        <v>3.47</v>
      </c>
      <c r="E8">
        <v>1.38</v>
      </c>
      <c r="F8">
        <v>11.5</v>
      </c>
      <c r="G8">
        <v>5.63</v>
      </c>
      <c r="H8">
        <v>9.9600000000000009</v>
      </c>
      <c r="I8">
        <v>8.75</v>
      </c>
      <c r="J8">
        <v>1.48</v>
      </c>
      <c r="K8">
        <v>1.94</v>
      </c>
      <c r="L8">
        <v>1.91</v>
      </c>
      <c r="M8">
        <v>0.41099999999999998</v>
      </c>
      <c r="N8">
        <v>8.5</v>
      </c>
      <c r="O8">
        <v>16.3</v>
      </c>
      <c r="P8">
        <v>14</v>
      </c>
      <c r="Q8">
        <v>20.5</v>
      </c>
      <c r="R8">
        <v>6.26</v>
      </c>
      <c r="S8">
        <v>8.51</v>
      </c>
      <c r="T8">
        <f t="shared" si="0"/>
        <v>7.8020666666666667</v>
      </c>
      <c r="U8">
        <f t="shared" si="1"/>
        <v>1.5493477228657244</v>
      </c>
    </row>
    <row r="9" spans="1:21" x14ac:dyDescent="0.25">
      <c r="A9" s="1">
        <v>45406.5</v>
      </c>
      <c r="B9">
        <v>1.86</v>
      </c>
      <c r="C9">
        <v>0.51600000000000001</v>
      </c>
      <c r="D9">
        <v>0.38100000000000001</v>
      </c>
      <c r="E9">
        <v>0.26700000000000002</v>
      </c>
      <c r="F9">
        <v>0.28299999999999997</v>
      </c>
      <c r="G9">
        <v>0.91700000000000004</v>
      </c>
      <c r="H9">
        <v>2.98</v>
      </c>
      <c r="I9">
        <v>0.38500000000000001</v>
      </c>
      <c r="J9">
        <v>16.600000000000001</v>
      </c>
      <c r="K9">
        <v>0.248</v>
      </c>
      <c r="L9">
        <v>9.6799999999999997E-2</v>
      </c>
      <c r="M9">
        <v>2.82</v>
      </c>
      <c r="N9">
        <v>14</v>
      </c>
      <c r="O9">
        <v>0.86</v>
      </c>
      <c r="P9">
        <v>0.47</v>
      </c>
      <c r="Q9">
        <v>3.06</v>
      </c>
      <c r="R9">
        <v>1.1299999999999999</v>
      </c>
      <c r="S9">
        <v>2.98</v>
      </c>
      <c r="T9">
        <f t="shared" si="0"/>
        <v>3.1397866666666667</v>
      </c>
      <c r="U9">
        <f t="shared" si="1"/>
        <v>1.3133230508855398</v>
      </c>
    </row>
    <row r="10" spans="1:21" x14ac:dyDescent="0.25">
      <c r="A10" s="1">
        <v>45406.541666666664</v>
      </c>
      <c r="B10">
        <v>29.6</v>
      </c>
      <c r="C10">
        <v>10.6</v>
      </c>
      <c r="D10">
        <v>2.48</v>
      </c>
      <c r="E10">
        <v>17.8</v>
      </c>
      <c r="F10">
        <v>1.93</v>
      </c>
      <c r="G10">
        <v>6.8</v>
      </c>
      <c r="H10">
        <v>1.17</v>
      </c>
      <c r="I10">
        <v>0.85699999999999998</v>
      </c>
      <c r="J10">
        <v>0.13800000000000001</v>
      </c>
      <c r="K10">
        <v>4.34</v>
      </c>
      <c r="L10">
        <v>13.7</v>
      </c>
      <c r="M10">
        <v>7.23</v>
      </c>
      <c r="N10">
        <v>0.53900000000000003</v>
      </c>
      <c r="O10">
        <v>0.61</v>
      </c>
      <c r="P10">
        <v>5.44</v>
      </c>
      <c r="Q10">
        <v>8.68</v>
      </c>
      <c r="R10">
        <v>2.4700000000000002</v>
      </c>
      <c r="S10">
        <v>3.17</v>
      </c>
      <c r="T10">
        <f t="shared" si="0"/>
        <v>4.9916000000000009</v>
      </c>
      <c r="U10">
        <f t="shared" si="1"/>
        <v>1.3376118655488756</v>
      </c>
    </row>
    <row r="11" spans="1:21" x14ac:dyDescent="0.25">
      <c r="A11" s="1">
        <v>45406.583333333336</v>
      </c>
      <c r="B11">
        <v>13.7</v>
      </c>
      <c r="C11">
        <v>16.600000000000001</v>
      </c>
      <c r="D11">
        <v>7.26</v>
      </c>
      <c r="E11">
        <v>1.89</v>
      </c>
      <c r="F11">
        <v>3.44E-2</v>
      </c>
      <c r="G11">
        <v>7.41</v>
      </c>
      <c r="H11">
        <v>27.9</v>
      </c>
      <c r="I11">
        <v>1.26</v>
      </c>
      <c r="J11">
        <v>1.62</v>
      </c>
      <c r="K11">
        <v>11</v>
      </c>
      <c r="L11">
        <v>0.58499999999999996</v>
      </c>
      <c r="M11">
        <v>5.46</v>
      </c>
      <c r="N11">
        <v>1.34</v>
      </c>
      <c r="O11">
        <v>1.03</v>
      </c>
      <c r="P11">
        <v>8.6300000000000002E-2</v>
      </c>
      <c r="Q11">
        <v>9.2799999999999994</v>
      </c>
      <c r="R11">
        <v>0.245</v>
      </c>
      <c r="S11">
        <v>5.29</v>
      </c>
      <c r="T11">
        <f t="shared" si="0"/>
        <v>4.9620466666666676</v>
      </c>
      <c r="U11">
        <f t="shared" si="1"/>
        <v>1.8771242877100891</v>
      </c>
    </row>
    <row r="12" spans="1:21" x14ac:dyDescent="0.25">
      <c r="A12" s="1">
        <v>45406.625</v>
      </c>
      <c r="B12">
        <v>1.37</v>
      </c>
      <c r="C12">
        <v>2.4400000000000002E-2</v>
      </c>
      <c r="D12">
        <v>2.61</v>
      </c>
      <c r="E12">
        <v>3.77</v>
      </c>
      <c r="F12">
        <v>0.26</v>
      </c>
      <c r="G12">
        <v>3.05</v>
      </c>
      <c r="H12">
        <v>1.47</v>
      </c>
      <c r="I12">
        <v>0.67500000000000004</v>
      </c>
      <c r="J12">
        <v>3.1600000000000003E-2</v>
      </c>
      <c r="K12">
        <v>10.6</v>
      </c>
      <c r="L12">
        <v>6.15</v>
      </c>
      <c r="M12">
        <v>6.67</v>
      </c>
      <c r="N12">
        <v>7.65</v>
      </c>
      <c r="O12">
        <v>0.13100000000000001</v>
      </c>
      <c r="P12">
        <v>1.02</v>
      </c>
      <c r="Q12">
        <v>1.57</v>
      </c>
      <c r="R12">
        <v>1.73</v>
      </c>
      <c r="S12">
        <v>1.42</v>
      </c>
      <c r="T12">
        <f t="shared" si="0"/>
        <v>3.0798399999999999</v>
      </c>
      <c r="U12">
        <f t="shared" si="1"/>
        <v>0.8327949732705896</v>
      </c>
    </row>
    <row r="13" spans="1:21" x14ac:dyDescent="0.25">
      <c r="A13" s="1">
        <v>45406.666666666664</v>
      </c>
      <c r="B13">
        <v>1.39</v>
      </c>
      <c r="C13">
        <v>0.26200000000000001</v>
      </c>
      <c r="D13">
        <v>2.68</v>
      </c>
      <c r="E13">
        <v>1.45</v>
      </c>
      <c r="F13">
        <v>4.59</v>
      </c>
      <c r="G13">
        <v>4.92</v>
      </c>
      <c r="H13">
        <v>3.09</v>
      </c>
      <c r="I13">
        <v>2.4400000000000002E-2</v>
      </c>
      <c r="J13">
        <v>1.27</v>
      </c>
      <c r="K13">
        <v>11.9</v>
      </c>
      <c r="L13">
        <v>17.3</v>
      </c>
      <c r="M13">
        <v>6.3</v>
      </c>
      <c r="N13">
        <v>0.76200000000000001</v>
      </c>
      <c r="O13">
        <v>6.21</v>
      </c>
      <c r="P13">
        <v>1.65</v>
      </c>
      <c r="Q13">
        <v>2.88</v>
      </c>
      <c r="R13">
        <v>0.53</v>
      </c>
      <c r="S13">
        <v>3.78</v>
      </c>
      <c r="T13">
        <f t="shared" si="0"/>
        <v>4.4437599999999993</v>
      </c>
      <c r="U13">
        <f t="shared" si="1"/>
        <v>1.2103806864666291</v>
      </c>
    </row>
    <row r="14" spans="1:21" x14ac:dyDescent="0.25">
      <c r="A14" s="1">
        <v>45406.708333333336</v>
      </c>
      <c r="B14">
        <v>10.199999999999999</v>
      </c>
      <c r="C14">
        <v>6.98</v>
      </c>
      <c r="D14">
        <v>10.7</v>
      </c>
      <c r="E14">
        <v>19.5</v>
      </c>
      <c r="F14">
        <v>18</v>
      </c>
      <c r="G14">
        <v>13.3</v>
      </c>
      <c r="H14">
        <v>15.4</v>
      </c>
      <c r="I14">
        <v>23.6</v>
      </c>
      <c r="J14">
        <v>25.2</v>
      </c>
      <c r="K14">
        <v>21.9</v>
      </c>
      <c r="L14">
        <v>15.8</v>
      </c>
      <c r="M14">
        <v>18</v>
      </c>
      <c r="N14">
        <v>2.34</v>
      </c>
      <c r="O14">
        <v>0.33700000000000002</v>
      </c>
      <c r="P14">
        <v>1.42</v>
      </c>
      <c r="Q14">
        <v>12.2</v>
      </c>
      <c r="R14">
        <v>19.7</v>
      </c>
      <c r="S14">
        <v>13</v>
      </c>
      <c r="T14">
        <f t="shared" si="0"/>
        <v>14.646466666666665</v>
      </c>
      <c r="U14">
        <f t="shared" si="1"/>
        <v>2.0228466289969811</v>
      </c>
    </row>
    <row r="15" spans="1:21" x14ac:dyDescent="0.25">
      <c r="A15" s="1">
        <v>45406.75</v>
      </c>
      <c r="B15">
        <v>2.98</v>
      </c>
      <c r="C15">
        <v>0.28199999999999997</v>
      </c>
      <c r="D15">
        <v>3.88</v>
      </c>
      <c r="E15">
        <v>4.38</v>
      </c>
      <c r="F15">
        <v>3.07</v>
      </c>
      <c r="G15">
        <v>7.34</v>
      </c>
      <c r="H15">
        <v>0.28199999999999997</v>
      </c>
      <c r="I15">
        <v>2.4400000000000002E-2</v>
      </c>
      <c r="J15">
        <v>1.26</v>
      </c>
      <c r="K15">
        <v>3.1</v>
      </c>
      <c r="L15">
        <v>0.878</v>
      </c>
      <c r="M15">
        <v>4.83</v>
      </c>
      <c r="N15">
        <v>17.600000000000001</v>
      </c>
      <c r="O15">
        <v>21.3</v>
      </c>
      <c r="P15">
        <v>11.9</v>
      </c>
      <c r="Q15">
        <v>12.6</v>
      </c>
      <c r="R15">
        <v>4.7699999999999996</v>
      </c>
      <c r="S15">
        <v>5.6</v>
      </c>
      <c r="T15">
        <f t="shared" si="0"/>
        <v>6.5956266666666661</v>
      </c>
      <c r="U15">
        <f t="shared" si="1"/>
        <v>1.6665632393660761</v>
      </c>
    </row>
    <row r="16" spans="1:21" x14ac:dyDescent="0.25">
      <c r="A16" s="1">
        <v>45406.791666666664</v>
      </c>
      <c r="B16">
        <v>9.5500000000000007</v>
      </c>
      <c r="C16">
        <v>4.48E-2</v>
      </c>
      <c r="D16">
        <v>7.45</v>
      </c>
      <c r="E16">
        <v>7.48</v>
      </c>
      <c r="F16">
        <v>18.8</v>
      </c>
      <c r="G16">
        <v>9.25</v>
      </c>
      <c r="H16">
        <v>24.6</v>
      </c>
      <c r="I16">
        <v>16.5</v>
      </c>
      <c r="J16">
        <v>4.53</v>
      </c>
      <c r="K16">
        <v>15.1</v>
      </c>
      <c r="L16">
        <v>4.22</v>
      </c>
      <c r="M16">
        <v>3.86</v>
      </c>
      <c r="N16">
        <v>10.6</v>
      </c>
      <c r="O16">
        <v>0.39200000000000002</v>
      </c>
      <c r="P16">
        <v>2.38</v>
      </c>
      <c r="Q16">
        <v>2.75</v>
      </c>
      <c r="R16">
        <v>1.1299999999999999</v>
      </c>
      <c r="S16">
        <v>7.9</v>
      </c>
      <c r="T16">
        <f t="shared" si="0"/>
        <v>8.6327999999999978</v>
      </c>
      <c r="U16">
        <f t="shared" si="1"/>
        <v>1.858251516114775</v>
      </c>
    </row>
    <row r="17" spans="1:21" x14ac:dyDescent="0.25">
      <c r="A17" s="1">
        <v>45406.833333333336</v>
      </c>
      <c r="B17">
        <v>6.06</v>
      </c>
      <c r="C17">
        <v>2.42</v>
      </c>
      <c r="D17">
        <v>10.4</v>
      </c>
      <c r="E17">
        <v>10.6</v>
      </c>
      <c r="F17">
        <v>29.6</v>
      </c>
      <c r="G17">
        <v>22.6</v>
      </c>
      <c r="H17">
        <v>3.35</v>
      </c>
      <c r="I17">
        <v>2.2599999999999998</v>
      </c>
      <c r="J17">
        <v>1.65</v>
      </c>
      <c r="K17">
        <v>6.12</v>
      </c>
      <c r="L17">
        <v>7.23</v>
      </c>
      <c r="M17">
        <v>6.4</v>
      </c>
      <c r="N17">
        <v>19.3</v>
      </c>
      <c r="O17">
        <v>1.05</v>
      </c>
      <c r="P17">
        <v>5.09</v>
      </c>
      <c r="Q17">
        <v>5.26</v>
      </c>
      <c r="R17">
        <v>25</v>
      </c>
      <c r="S17">
        <v>10</v>
      </c>
      <c r="T17">
        <f t="shared" si="0"/>
        <v>10.367333333333336</v>
      </c>
      <c r="U17">
        <f t="shared" si="1"/>
        <v>2.3794398033524145</v>
      </c>
    </row>
    <row r="18" spans="1:21" x14ac:dyDescent="0.25">
      <c r="A18" s="1">
        <v>45406.875</v>
      </c>
      <c r="B18">
        <v>4.58</v>
      </c>
      <c r="C18">
        <v>3.84</v>
      </c>
      <c r="D18">
        <v>24.6</v>
      </c>
      <c r="E18">
        <v>6.44</v>
      </c>
      <c r="F18">
        <v>11.9</v>
      </c>
      <c r="G18">
        <v>15.2</v>
      </c>
      <c r="H18">
        <v>2.59</v>
      </c>
      <c r="I18">
        <v>0.32800000000000001</v>
      </c>
      <c r="J18">
        <v>7.29</v>
      </c>
      <c r="K18">
        <v>8.07</v>
      </c>
      <c r="L18">
        <v>21.2</v>
      </c>
      <c r="M18">
        <v>14.3</v>
      </c>
      <c r="N18">
        <v>25.6</v>
      </c>
      <c r="O18">
        <v>0.13100000000000001</v>
      </c>
      <c r="P18">
        <v>30</v>
      </c>
      <c r="Q18">
        <v>9.4700000000000006</v>
      </c>
      <c r="R18">
        <v>21.3</v>
      </c>
      <c r="S18">
        <v>20.5</v>
      </c>
      <c r="T18">
        <f t="shared" si="0"/>
        <v>12.954600000000001</v>
      </c>
      <c r="U18">
        <f t="shared" si="1"/>
        <v>2.385283678447212</v>
      </c>
    </row>
    <row r="19" spans="1:21" x14ac:dyDescent="0.25">
      <c r="A19" s="1">
        <v>45406.916666666664</v>
      </c>
      <c r="B19">
        <v>4.78</v>
      </c>
      <c r="C19">
        <v>2.08</v>
      </c>
      <c r="D19">
        <v>9.7200000000000006</v>
      </c>
      <c r="E19">
        <v>30.3</v>
      </c>
      <c r="F19">
        <v>5.84</v>
      </c>
      <c r="G19">
        <v>9.11</v>
      </c>
      <c r="H19">
        <v>12.7</v>
      </c>
      <c r="I19">
        <v>6.0100000000000001E-2</v>
      </c>
      <c r="J19">
        <v>32.299999999999997</v>
      </c>
      <c r="K19">
        <v>2.52</v>
      </c>
      <c r="L19">
        <v>13.4</v>
      </c>
      <c r="M19">
        <v>18.8</v>
      </c>
      <c r="N19">
        <v>11.7</v>
      </c>
      <c r="O19">
        <v>8.15</v>
      </c>
      <c r="P19">
        <v>19.600000000000001</v>
      </c>
      <c r="Q19">
        <v>1.29</v>
      </c>
      <c r="R19">
        <v>6.27</v>
      </c>
      <c r="S19">
        <v>24.9</v>
      </c>
      <c r="T19">
        <f t="shared" si="0"/>
        <v>13.129340000000001</v>
      </c>
      <c r="U19">
        <f t="shared" si="1"/>
        <v>2.6203304766820095</v>
      </c>
    </row>
    <row r="20" spans="1:21" x14ac:dyDescent="0.25">
      <c r="A20" s="1">
        <v>45406.958333333336</v>
      </c>
      <c r="B20">
        <v>9.06</v>
      </c>
      <c r="C20">
        <v>18.600000000000001</v>
      </c>
      <c r="D20">
        <v>4.18</v>
      </c>
      <c r="E20">
        <v>24.6</v>
      </c>
      <c r="F20">
        <v>36.299999999999997</v>
      </c>
      <c r="G20">
        <v>13.6</v>
      </c>
      <c r="H20">
        <v>34.6</v>
      </c>
      <c r="I20">
        <v>0.97699999999999998</v>
      </c>
      <c r="J20">
        <v>20.399999999999999</v>
      </c>
      <c r="K20">
        <v>7.4</v>
      </c>
      <c r="L20">
        <v>38.1</v>
      </c>
      <c r="M20">
        <v>21.6</v>
      </c>
      <c r="N20">
        <v>15.5</v>
      </c>
      <c r="O20">
        <v>9.57</v>
      </c>
      <c r="P20">
        <v>27.6</v>
      </c>
      <c r="Q20">
        <v>5.15</v>
      </c>
      <c r="R20">
        <v>21.2</v>
      </c>
      <c r="S20">
        <v>13.6</v>
      </c>
      <c r="T20">
        <f t="shared" si="0"/>
        <v>19.346466666666668</v>
      </c>
      <c r="U20">
        <f t="shared" si="1"/>
        <v>2.9562245401970895</v>
      </c>
    </row>
    <row r="21" spans="1:21" x14ac:dyDescent="0.25">
      <c r="A21" s="1">
        <v>45407</v>
      </c>
      <c r="B21">
        <v>21.3</v>
      </c>
      <c r="C21">
        <v>24.6</v>
      </c>
      <c r="D21">
        <v>0.80400000000000005</v>
      </c>
      <c r="E21">
        <v>4.8899999999999997</v>
      </c>
      <c r="F21">
        <v>10.9</v>
      </c>
      <c r="G21">
        <v>2.88</v>
      </c>
      <c r="H21">
        <v>33.299999999999997</v>
      </c>
      <c r="I21">
        <v>15.8</v>
      </c>
      <c r="J21">
        <v>5.26</v>
      </c>
      <c r="K21">
        <v>19.899999999999999</v>
      </c>
      <c r="L21">
        <v>7.09</v>
      </c>
      <c r="M21">
        <v>4.16</v>
      </c>
      <c r="N21">
        <v>1.46</v>
      </c>
      <c r="O21">
        <v>17.8</v>
      </c>
      <c r="P21">
        <v>14.7</v>
      </c>
      <c r="Q21">
        <v>23.8</v>
      </c>
      <c r="R21">
        <v>1.85</v>
      </c>
      <c r="S21">
        <v>4.62</v>
      </c>
      <c r="T21">
        <f t="shared" si="0"/>
        <v>11.227333333333332</v>
      </c>
      <c r="U21">
        <f t="shared" si="1"/>
        <v>2.4263151498412578</v>
      </c>
    </row>
    <row r="22" spans="1:21" x14ac:dyDescent="0.25">
      <c r="A22" s="1">
        <v>45407.041666666664</v>
      </c>
      <c r="B22">
        <v>17.899999999999999</v>
      </c>
      <c r="C22">
        <v>2.4400000000000002E-2</v>
      </c>
      <c r="D22">
        <v>22.8</v>
      </c>
      <c r="E22">
        <v>13.3</v>
      </c>
      <c r="F22">
        <v>7.83</v>
      </c>
      <c r="G22">
        <v>20.5</v>
      </c>
      <c r="H22">
        <v>29.9</v>
      </c>
      <c r="I22">
        <v>24.8</v>
      </c>
      <c r="J22">
        <v>4.5599999999999996</v>
      </c>
      <c r="K22">
        <v>33.700000000000003</v>
      </c>
      <c r="L22">
        <v>2.93</v>
      </c>
      <c r="M22">
        <v>18.399999999999999</v>
      </c>
      <c r="N22">
        <v>5.78</v>
      </c>
      <c r="O22">
        <v>25.9</v>
      </c>
      <c r="P22">
        <v>1.58</v>
      </c>
      <c r="Q22">
        <v>21.8</v>
      </c>
      <c r="R22">
        <v>25.5</v>
      </c>
      <c r="S22">
        <v>6.27</v>
      </c>
      <c r="T22">
        <f t="shared" si="0"/>
        <v>16.183333333333337</v>
      </c>
      <c r="U22">
        <f t="shared" si="1"/>
        <v>2.7724331185486477</v>
      </c>
    </row>
    <row r="23" spans="1:21" x14ac:dyDescent="0.25">
      <c r="A23" s="1">
        <v>45407.083333333336</v>
      </c>
      <c r="B23">
        <v>21.2</v>
      </c>
      <c r="C23">
        <v>14.3</v>
      </c>
      <c r="D23">
        <v>7.85</v>
      </c>
      <c r="E23">
        <v>32.6</v>
      </c>
      <c r="F23">
        <v>1.99</v>
      </c>
      <c r="G23">
        <v>13.2</v>
      </c>
      <c r="H23">
        <v>11</v>
      </c>
      <c r="I23">
        <v>33.299999999999997</v>
      </c>
      <c r="J23">
        <v>4.3499999999999996</v>
      </c>
      <c r="K23">
        <v>7.68</v>
      </c>
      <c r="L23">
        <v>36.9</v>
      </c>
      <c r="M23">
        <v>3.22</v>
      </c>
      <c r="N23">
        <v>33.9</v>
      </c>
      <c r="O23">
        <v>2.68</v>
      </c>
      <c r="P23">
        <v>0.84</v>
      </c>
      <c r="Q23">
        <v>9.89</v>
      </c>
      <c r="R23">
        <v>8.66</v>
      </c>
      <c r="S23">
        <v>23.2</v>
      </c>
      <c r="T23">
        <f t="shared" si="0"/>
        <v>14.894</v>
      </c>
      <c r="U23">
        <f t="shared" si="1"/>
        <v>3.4235949916230837</v>
      </c>
    </row>
    <row r="24" spans="1:21" x14ac:dyDescent="0.25">
      <c r="A24" s="1">
        <v>45407.125</v>
      </c>
      <c r="B24">
        <v>6.51</v>
      </c>
      <c r="C24">
        <v>31.7</v>
      </c>
      <c r="D24">
        <v>25.5</v>
      </c>
      <c r="E24">
        <v>3.12</v>
      </c>
      <c r="F24">
        <v>1.58</v>
      </c>
      <c r="G24">
        <v>5.25</v>
      </c>
      <c r="H24">
        <v>1.0900000000000001</v>
      </c>
      <c r="I24">
        <v>0.871</v>
      </c>
      <c r="J24">
        <v>37.299999999999997</v>
      </c>
      <c r="K24">
        <v>26.3</v>
      </c>
      <c r="L24">
        <v>2.87</v>
      </c>
      <c r="M24">
        <v>8.94</v>
      </c>
      <c r="N24">
        <v>12.4</v>
      </c>
      <c r="O24">
        <v>0.15</v>
      </c>
      <c r="P24">
        <v>0.86099999999999999</v>
      </c>
      <c r="Q24">
        <v>21</v>
      </c>
      <c r="R24">
        <v>8.44</v>
      </c>
      <c r="S24">
        <v>4.03</v>
      </c>
      <c r="T24">
        <f t="shared" si="0"/>
        <v>8.9468000000000014</v>
      </c>
      <c r="U24">
        <f t="shared" si="1"/>
        <v>2.8411939210731201</v>
      </c>
    </row>
    <row r="25" spans="1:21" x14ac:dyDescent="0.25">
      <c r="A25" s="1">
        <v>45407.166666666664</v>
      </c>
      <c r="B25">
        <v>11.8</v>
      </c>
      <c r="C25">
        <v>5.41</v>
      </c>
      <c r="D25">
        <v>3.01</v>
      </c>
      <c r="E25">
        <v>1.56</v>
      </c>
      <c r="F25">
        <v>30.4</v>
      </c>
      <c r="G25">
        <v>4.05</v>
      </c>
      <c r="H25">
        <v>8.9499999999999993</v>
      </c>
      <c r="I25">
        <v>18.5</v>
      </c>
      <c r="J25">
        <v>19.600000000000001</v>
      </c>
      <c r="K25">
        <v>18.399999999999999</v>
      </c>
      <c r="L25">
        <v>37.4</v>
      </c>
      <c r="M25">
        <v>12.8</v>
      </c>
      <c r="N25">
        <v>18.600000000000001</v>
      </c>
      <c r="O25">
        <v>42.8</v>
      </c>
      <c r="P25">
        <v>6.53</v>
      </c>
      <c r="Q25">
        <v>21.5</v>
      </c>
      <c r="R25">
        <v>32.1</v>
      </c>
      <c r="S25">
        <v>3.38</v>
      </c>
      <c r="T25">
        <f t="shared" si="0"/>
        <v>18.437999999999999</v>
      </c>
      <c r="U25">
        <f t="shared" si="1"/>
        <v>3.2919788809135686</v>
      </c>
    </row>
    <row r="26" spans="1:21" x14ac:dyDescent="0.25">
      <c r="A26" s="1">
        <v>45407.208333333336</v>
      </c>
      <c r="B26">
        <v>0.71399999999999997</v>
      </c>
      <c r="C26">
        <v>7.3200000000000001E-2</v>
      </c>
      <c r="D26">
        <v>1.1100000000000001</v>
      </c>
      <c r="E26">
        <v>8.25</v>
      </c>
      <c r="F26">
        <v>6.3</v>
      </c>
      <c r="G26">
        <v>16</v>
      </c>
      <c r="H26">
        <v>16.600000000000001</v>
      </c>
      <c r="I26">
        <v>33.200000000000003</v>
      </c>
      <c r="J26">
        <v>3.56</v>
      </c>
      <c r="K26">
        <v>7.7</v>
      </c>
      <c r="L26">
        <v>9.51</v>
      </c>
      <c r="M26">
        <v>4.09</v>
      </c>
      <c r="N26">
        <v>34.5</v>
      </c>
      <c r="O26">
        <v>18.100000000000001</v>
      </c>
      <c r="P26">
        <v>33.799999999999997</v>
      </c>
      <c r="Q26">
        <v>21.6</v>
      </c>
      <c r="R26">
        <v>6.9</v>
      </c>
      <c r="S26">
        <v>12.6</v>
      </c>
      <c r="T26">
        <f t="shared" si="0"/>
        <v>15.514000000000001</v>
      </c>
      <c r="U26">
        <f t="shared" si="1"/>
        <v>2.7976617447602989</v>
      </c>
    </row>
    <row r="27" spans="1:21" x14ac:dyDescent="0.25">
      <c r="A27" s="1">
        <v>45407.25</v>
      </c>
      <c r="B27">
        <v>3.92</v>
      </c>
      <c r="C27">
        <v>13.1</v>
      </c>
      <c r="D27">
        <v>18.8</v>
      </c>
      <c r="E27">
        <v>33.1</v>
      </c>
      <c r="F27">
        <v>8.5500000000000007</v>
      </c>
      <c r="G27">
        <v>16.5</v>
      </c>
      <c r="H27">
        <v>13.5</v>
      </c>
      <c r="I27">
        <v>7</v>
      </c>
      <c r="J27">
        <v>11.1</v>
      </c>
      <c r="K27">
        <v>2.09</v>
      </c>
      <c r="L27">
        <v>23.6</v>
      </c>
      <c r="M27">
        <v>9.7100000000000009</v>
      </c>
      <c r="N27">
        <v>35.9</v>
      </c>
      <c r="O27">
        <v>2.4400000000000002E-2</v>
      </c>
      <c r="P27">
        <v>7.48</v>
      </c>
      <c r="Q27">
        <v>3.91</v>
      </c>
      <c r="R27">
        <v>9.9700000000000006</v>
      </c>
      <c r="S27">
        <v>8.8800000000000008</v>
      </c>
      <c r="T27">
        <f t="shared" si="0"/>
        <v>12.754293333333333</v>
      </c>
      <c r="U27">
        <f t="shared" si="1"/>
        <v>2.7161414498453968</v>
      </c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6B6D-3A6A-4EED-940C-3C39341EDFD7}">
  <dimension ref="A1:U236"/>
  <sheetViews>
    <sheetView workbookViewId="0">
      <selection activeCell="B1" sqref="B1:S27"/>
    </sheetView>
  </sheetViews>
  <sheetFormatPr defaultColWidth="11" defaultRowHeight="15.75" x14ac:dyDescent="0.25"/>
  <cols>
    <col min="1" max="1" width="17.875" customWidth="1"/>
  </cols>
  <sheetData>
    <row r="1" spans="1:21" x14ac:dyDescent="0.25">
      <c r="A1" t="s">
        <v>0</v>
      </c>
      <c r="B1" t="s">
        <v>14</v>
      </c>
      <c r="C1">
        <v>536</v>
      </c>
      <c r="D1" t="s">
        <v>15</v>
      </c>
      <c r="E1" t="s">
        <v>16</v>
      </c>
      <c r="F1" t="s">
        <v>17</v>
      </c>
      <c r="G1" t="s">
        <v>18</v>
      </c>
      <c r="H1" t="s">
        <v>14</v>
      </c>
      <c r="I1">
        <v>536</v>
      </c>
      <c r="J1" t="s">
        <v>15</v>
      </c>
      <c r="K1" t="s">
        <v>16</v>
      </c>
      <c r="L1" t="s">
        <v>17</v>
      </c>
      <c r="M1" t="s">
        <v>18</v>
      </c>
      <c r="N1" t="s">
        <v>14</v>
      </c>
      <c r="O1">
        <v>536</v>
      </c>
      <c r="P1" t="s">
        <v>15</v>
      </c>
      <c r="Q1" t="s">
        <v>16</v>
      </c>
      <c r="R1" t="s">
        <v>17</v>
      </c>
      <c r="S1" t="s">
        <v>18</v>
      </c>
    </row>
    <row r="2" spans="1:21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</row>
    <row r="3" spans="1:21" x14ac:dyDescent="0.25"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12</v>
      </c>
      <c r="U3" t="s">
        <v>13</v>
      </c>
    </row>
    <row r="4" spans="1:21" x14ac:dyDescent="0.25">
      <c r="A4" s="1">
        <v>45406.291666666664</v>
      </c>
      <c r="B4">
        <v>2.58</v>
      </c>
      <c r="C4">
        <v>17.3</v>
      </c>
      <c r="D4">
        <v>0.18</v>
      </c>
      <c r="E4">
        <v>1.41</v>
      </c>
      <c r="F4">
        <v>8.3699999999999992</v>
      </c>
      <c r="G4">
        <v>2.02</v>
      </c>
      <c r="H4">
        <v>1.35</v>
      </c>
      <c r="I4">
        <v>0.76400000000000001</v>
      </c>
      <c r="J4">
        <v>23.5</v>
      </c>
      <c r="K4">
        <v>2.5</v>
      </c>
      <c r="L4">
        <v>1.38</v>
      </c>
      <c r="M4">
        <v>12</v>
      </c>
      <c r="N4">
        <v>24.3</v>
      </c>
      <c r="O4">
        <v>5.29</v>
      </c>
      <c r="P4" s="2">
        <v>27.4</v>
      </c>
      <c r="Q4">
        <v>16</v>
      </c>
      <c r="R4">
        <v>0.17799999999999999</v>
      </c>
      <c r="S4">
        <v>21.8</v>
      </c>
      <c r="T4">
        <f>AVERAGE(E4:S4)</f>
        <v>9.8841333333333345</v>
      </c>
      <c r="U4">
        <f>_xlfn.STDEV.S(E4:S4) / SQRT(COUNT(E4:S4))</f>
        <v>2.5985347553805456</v>
      </c>
    </row>
    <row r="5" spans="1:21" x14ac:dyDescent="0.25">
      <c r="A5" s="1">
        <v>45406.333333333336</v>
      </c>
      <c r="B5">
        <v>2.08</v>
      </c>
      <c r="C5">
        <v>2.4700000000000002</v>
      </c>
      <c r="D5">
        <v>4.53E-2</v>
      </c>
      <c r="E5">
        <v>1.55</v>
      </c>
      <c r="F5">
        <v>3.91</v>
      </c>
      <c r="G5">
        <v>7.08</v>
      </c>
      <c r="H5">
        <v>26.2</v>
      </c>
      <c r="I5">
        <v>16.399999999999999</v>
      </c>
      <c r="J5">
        <v>2.4400000000000002E-2</v>
      </c>
      <c r="K5">
        <v>2.13</v>
      </c>
      <c r="L5">
        <v>2.4400000000000002E-2</v>
      </c>
      <c r="M5">
        <v>4.63</v>
      </c>
      <c r="N5">
        <v>7.78</v>
      </c>
      <c r="O5">
        <v>0.53300000000000003</v>
      </c>
      <c r="P5" s="2">
        <v>0.32100000000000001</v>
      </c>
      <c r="Q5">
        <v>3.96</v>
      </c>
      <c r="R5">
        <v>8.77</v>
      </c>
      <c r="S5">
        <v>5.59</v>
      </c>
      <c r="T5">
        <f t="shared" ref="T5:T27" si="0">AVERAGE(E5:S5)</f>
        <v>5.926853333333332</v>
      </c>
      <c r="U5">
        <f t="shared" ref="U5:U27" si="1">_xlfn.STDEV.S(E5:S5) / SQRT(COUNT(E5:S5))</f>
        <v>1.8348949161520491</v>
      </c>
    </row>
    <row r="6" spans="1:21" x14ac:dyDescent="0.25">
      <c r="A6" s="1">
        <v>45406.375</v>
      </c>
      <c r="B6">
        <v>1.9</v>
      </c>
      <c r="C6">
        <v>2.4400000000000002E-2</v>
      </c>
      <c r="D6">
        <v>1.44</v>
      </c>
      <c r="E6">
        <v>5.47</v>
      </c>
      <c r="F6">
        <v>11.3</v>
      </c>
      <c r="G6">
        <v>1.81</v>
      </c>
      <c r="H6">
        <v>23.9</v>
      </c>
      <c r="I6">
        <v>1.56</v>
      </c>
      <c r="J6">
        <v>0.93</v>
      </c>
      <c r="K6">
        <v>1.72</v>
      </c>
      <c r="L6">
        <v>1.05</v>
      </c>
      <c r="M6">
        <v>1.95</v>
      </c>
      <c r="N6">
        <v>2.16</v>
      </c>
      <c r="O6">
        <v>2.56</v>
      </c>
      <c r="P6" s="2">
        <v>6.6000000000000003E-2</v>
      </c>
      <c r="Q6">
        <v>3.07</v>
      </c>
      <c r="R6">
        <v>2.85</v>
      </c>
      <c r="S6">
        <v>2.71</v>
      </c>
      <c r="T6">
        <f t="shared" si="0"/>
        <v>4.207066666666667</v>
      </c>
      <c r="U6">
        <f t="shared" si="1"/>
        <v>1.564308468748036</v>
      </c>
    </row>
    <row r="7" spans="1:21" x14ac:dyDescent="0.25">
      <c r="A7" s="1">
        <v>45406.416666666664</v>
      </c>
      <c r="B7">
        <v>0.96899999999999997</v>
      </c>
      <c r="C7">
        <v>7.46</v>
      </c>
      <c r="D7">
        <v>5.7000000000000002E-2</v>
      </c>
      <c r="E7">
        <v>2</v>
      </c>
      <c r="F7">
        <v>6.98</v>
      </c>
      <c r="G7">
        <v>3.52</v>
      </c>
      <c r="H7">
        <v>0.46</v>
      </c>
      <c r="I7">
        <v>0.65500000000000003</v>
      </c>
      <c r="J7">
        <v>5.41</v>
      </c>
      <c r="K7">
        <v>10.8</v>
      </c>
      <c r="L7">
        <v>1.05</v>
      </c>
      <c r="M7">
        <v>3.58</v>
      </c>
      <c r="N7">
        <v>6.84</v>
      </c>
      <c r="O7">
        <v>29.2</v>
      </c>
      <c r="P7" s="2">
        <v>2.33</v>
      </c>
      <c r="Q7">
        <v>5.7</v>
      </c>
      <c r="R7">
        <v>6.94</v>
      </c>
      <c r="S7">
        <v>8.6300000000000008</v>
      </c>
      <c r="T7">
        <f t="shared" si="0"/>
        <v>6.2729999999999997</v>
      </c>
      <c r="U7">
        <f t="shared" si="1"/>
        <v>1.8196094426578262</v>
      </c>
    </row>
    <row r="8" spans="1:21" x14ac:dyDescent="0.25">
      <c r="A8" s="1">
        <v>45406.458333333336</v>
      </c>
      <c r="B8">
        <v>7.92</v>
      </c>
      <c r="C8">
        <v>0.51500000000000001</v>
      </c>
      <c r="D8">
        <v>1.2</v>
      </c>
      <c r="E8">
        <v>3.08</v>
      </c>
      <c r="F8">
        <v>10.6</v>
      </c>
      <c r="G8">
        <v>3.52</v>
      </c>
      <c r="H8">
        <v>0.624</v>
      </c>
      <c r="I8">
        <v>4.38</v>
      </c>
      <c r="J8">
        <v>6.8900000000000003E-2</v>
      </c>
      <c r="K8">
        <v>15.5</v>
      </c>
      <c r="L8">
        <v>0.38600000000000001</v>
      </c>
      <c r="M8">
        <v>1.94</v>
      </c>
      <c r="N8">
        <v>24.4</v>
      </c>
      <c r="O8">
        <v>27.6</v>
      </c>
      <c r="P8" s="2">
        <v>2.4400000000000002E-2</v>
      </c>
      <c r="Q8">
        <v>20.3</v>
      </c>
      <c r="R8">
        <v>27.5</v>
      </c>
      <c r="S8">
        <v>13.1</v>
      </c>
      <c r="T8">
        <f t="shared" si="0"/>
        <v>10.201553333333331</v>
      </c>
      <c r="U8">
        <f t="shared" si="1"/>
        <v>2.7027086575343473</v>
      </c>
    </row>
    <row r="9" spans="1:21" x14ac:dyDescent="0.25">
      <c r="A9" s="1">
        <v>45406.5</v>
      </c>
      <c r="B9">
        <v>2.4400000000000002E-2</v>
      </c>
      <c r="C9">
        <v>1.49</v>
      </c>
      <c r="D9">
        <v>2.4400000000000002E-2</v>
      </c>
      <c r="E9">
        <v>9.36</v>
      </c>
      <c r="F9">
        <v>0.748</v>
      </c>
      <c r="G9">
        <v>4.5</v>
      </c>
      <c r="H9">
        <v>14.6</v>
      </c>
      <c r="I9">
        <v>2.4400000000000002E-2</v>
      </c>
      <c r="J9">
        <v>2.2200000000000002</v>
      </c>
      <c r="K9">
        <v>6.25</v>
      </c>
      <c r="L9">
        <v>1.71</v>
      </c>
      <c r="M9">
        <v>3.8</v>
      </c>
      <c r="N9">
        <v>0.28999999999999998</v>
      </c>
      <c r="O9">
        <v>2.0699999999999998</v>
      </c>
      <c r="P9" s="2">
        <v>0.2</v>
      </c>
      <c r="Q9">
        <v>2.0499999999999998</v>
      </c>
      <c r="R9">
        <v>8.66</v>
      </c>
      <c r="S9">
        <v>2.96</v>
      </c>
      <c r="T9">
        <f t="shared" si="0"/>
        <v>3.9628266666666665</v>
      </c>
      <c r="U9">
        <f t="shared" si="1"/>
        <v>1.0684734805393499</v>
      </c>
    </row>
    <row r="10" spans="1:21" x14ac:dyDescent="0.25">
      <c r="A10" s="1">
        <v>45406.541666666664</v>
      </c>
      <c r="B10">
        <v>2.4900000000000002</v>
      </c>
      <c r="C10">
        <v>0.26300000000000001</v>
      </c>
      <c r="D10">
        <v>2.57</v>
      </c>
      <c r="E10">
        <v>1.05</v>
      </c>
      <c r="F10">
        <v>1.2</v>
      </c>
      <c r="G10">
        <v>1.04</v>
      </c>
      <c r="H10">
        <v>17.899999999999999</v>
      </c>
      <c r="I10">
        <v>0.44400000000000001</v>
      </c>
      <c r="J10">
        <v>7.6700000000000004E-2</v>
      </c>
      <c r="K10">
        <v>0.79700000000000004</v>
      </c>
      <c r="L10">
        <v>5.63</v>
      </c>
      <c r="M10">
        <v>8.0399999999999991</v>
      </c>
      <c r="N10">
        <v>0.98599999999999999</v>
      </c>
      <c r="O10">
        <v>5.2400000000000002E-2</v>
      </c>
      <c r="P10" s="2">
        <v>0.61499999999999999</v>
      </c>
      <c r="Q10">
        <v>1.36</v>
      </c>
      <c r="R10">
        <v>3.06</v>
      </c>
      <c r="S10">
        <v>2.25</v>
      </c>
      <c r="T10">
        <f t="shared" si="0"/>
        <v>2.9667399999999997</v>
      </c>
      <c r="U10">
        <f t="shared" si="1"/>
        <v>1.2087311356404562</v>
      </c>
    </row>
    <row r="11" spans="1:21" x14ac:dyDescent="0.25">
      <c r="A11" s="1">
        <v>45406.583333333336</v>
      </c>
      <c r="B11">
        <v>22</v>
      </c>
      <c r="C11">
        <v>0.57299999999999995</v>
      </c>
      <c r="D11">
        <v>9.5</v>
      </c>
      <c r="E11">
        <v>26.2</v>
      </c>
      <c r="F11">
        <v>21</v>
      </c>
      <c r="G11">
        <v>17</v>
      </c>
      <c r="H11">
        <v>7.88</v>
      </c>
      <c r="I11">
        <v>9.83</v>
      </c>
      <c r="J11">
        <v>4.1399999999999997</v>
      </c>
      <c r="K11">
        <v>4.16</v>
      </c>
      <c r="L11">
        <v>0.42199999999999999</v>
      </c>
      <c r="M11">
        <v>0.63700000000000001</v>
      </c>
      <c r="N11">
        <v>0.878</v>
      </c>
      <c r="O11">
        <v>1.1100000000000001</v>
      </c>
      <c r="P11" s="2">
        <v>2.04</v>
      </c>
      <c r="Q11">
        <v>3.05</v>
      </c>
      <c r="R11">
        <v>0.41</v>
      </c>
      <c r="S11">
        <v>6.17</v>
      </c>
      <c r="T11">
        <f t="shared" si="0"/>
        <v>6.9951333333333325</v>
      </c>
      <c r="U11">
        <f t="shared" si="1"/>
        <v>2.1043244382906594</v>
      </c>
    </row>
    <row r="12" spans="1:21" x14ac:dyDescent="0.25">
      <c r="A12" s="1">
        <v>45406.625</v>
      </c>
      <c r="B12">
        <v>2.04</v>
      </c>
      <c r="C12">
        <v>0.28399999999999997</v>
      </c>
      <c r="D12">
        <v>6.37</v>
      </c>
      <c r="E12">
        <v>5.29</v>
      </c>
      <c r="F12">
        <v>4.45</v>
      </c>
      <c r="G12">
        <v>3.14</v>
      </c>
      <c r="H12">
        <v>9.25</v>
      </c>
      <c r="I12">
        <v>10.9</v>
      </c>
      <c r="J12">
        <v>1.1399999999999999</v>
      </c>
      <c r="K12">
        <v>5.04</v>
      </c>
      <c r="L12">
        <v>2.0499999999999998</v>
      </c>
      <c r="M12">
        <v>4</v>
      </c>
      <c r="N12">
        <v>0.81100000000000005</v>
      </c>
      <c r="O12">
        <v>2.39</v>
      </c>
      <c r="P12" s="2">
        <v>5.15</v>
      </c>
      <c r="Q12">
        <v>3.53</v>
      </c>
      <c r="R12">
        <v>1.3</v>
      </c>
      <c r="S12">
        <v>0.71799999999999997</v>
      </c>
      <c r="T12">
        <f t="shared" si="0"/>
        <v>3.9439333333333328</v>
      </c>
      <c r="U12">
        <f t="shared" si="1"/>
        <v>0.76582353100105327</v>
      </c>
    </row>
    <row r="13" spans="1:21" x14ac:dyDescent="0.25">
      <c r="A13" s="1">
        <v>45406.666666666664</v>
      </c>
      <c r="B13">
        <v>1.59</v>
      </c>
      <c r="C13">
        <v>7.08</v>
      </c>
      <c r="D13">
        <v>2.91</v>
      </c>
      <c r="E13">
        <v>1.05</v>
      </c>
      <c r="F13">
        <v>1.61</v>
      </c>
      <c r="G13">
        <v>5.55</v>
      </c>
      <c r="H13">
        <v>5.35</v>
      </c>
      <c r="I13">
        <v>13.3</v>
      </c>
      <c r="J13">
        <v>8.4199999999999997E-2</v>
      </c>
      <c r="K13">
        <v>1.82</v>
      </c>
      <c r="L13">
        <v>0.52100000000000002</v>
      </c>
      <c r="M13">
        <v>5.83</v>
      </c>
      <c r="N13">
        <v>3.61</v>
      </c>
      <c r="O13">
        <v>0.36399999999999999</v>
      </c>
      <c r="P13" s="2">
        <v>2.74</v>
      </c>
      <c r="Q13">
        <v>5.48</v>
      </c>
      <c r="R13">
        <v>0.318</v>
      </c>
      <c r="S13">
        <v>2.12</v>
      </c>
      <c r="T13">
        <f t="shared" si="0"/>
        <v>3.3164799999999999</v>
      </c>
      <c r="U13">
        <f t="shared" si="1"/>
        <v>0.8941661632732798</v>
      </c>
    </row>
    <row r="14" spans="1:21" x14ac:dyDescent="0.25">
      <c r="A14" s="1">
        <v>45406.708333333336</v>
      </c>
      <c r="B14">
        <v>17.5</v>
      </c>
      <c r="C14">
        <v>16.5</v>
      </c>
      <c r="D14">
        <v>2.8</v>
      </c>
      <c r="E14">
        <v>16.8</v>
      </c>
      <c r="F14">
        <v>9.76</v>
      </c>
      <c r="G14">
        <v>12.5</v>
      </c>
      <c r="H14">
        <v>14.4</v>
      </c>
      <c r="I14">
        <v>14.4</v>
      </c>
      <c r="J14">
        <v>4.9800000000000004</v>
      </c>
      <c r="K14">
        <v>22.6</v>
      </c>
      <c r="L14">
        <v>16</v>
      </c>
      <c r="M14">
        <v>15.7</v>
      </c>
      <c r="N14">
        <v>12.2</v>
      </c>
      <c r="O14">
        <v>19</v>
      </c>
      <c r="P14" s="2">
        <v>13.3</v>
      </c>
      <c r="Q14">
        <v>2.15</v>
      </c>
      <c r="R14">
        <v>1.86</v>
      </c>
      <c r="S14">
        <v>2.37</v>
      </c>
      <c r="T14">
        <f t="shared" si="0"/>
        <v>11.868000000000002</v>
      </c>
      <c r="U14">
        <f t="shared" si="1"/>
        <v>1.6535756926819432</v>
      </c>
    </row>
    <row r="15" spans="1:21" x14ac:dyDescent="0.25">
      <c r="A15" s="1">
        <v>45406.75</v>
      </c>
      <c r="B15">
        <v>5.36</v>
      </c>
      <c r="C15">
        <v>0.74199999999999999</v>
      </c>
      <c r="D15">
        <v>2.62</v>
      </c>
      <c r="E15">
        <v>4.16</v>
      </c>
      <c r="F15">
        <v>1.39</v>
      </c>
      <c r="G15">
        <v>4.72</v>
      </c>
      <c r="H15">
        <v>1.54</v>
      </c>
      <c r="I15">
        <v>0.31</v>
      </c>
      <c r="J15">
        <v>0.33500000000000002</v>
      </c>
      <c r="K15">
        <v>11.1</v>
      </c>
      <c r="L15">
        <v>0.249</v>
      </c>
      <c r="M15">
        <v>6.02</v>
      </c>
      <c r="N15">
        <v>0.87</v>
      </c>
      <c r="O15">
        <v>2.4400000000000002E-2</v>
      </c>
      <c r="P15" s="2">
        <v>2.12</v>
      </c>
      <c r="Q15">
        <v>11.7</v>
      </c>
      <c r="R15">
        <v>6.18</v>
      </c>
      <c r="S15">
        <v>8.4</v>
      </c>
      <c r="T15">
        <f t="shared" si="0"/>
        <v>3.9412266666666662</v>
      </c>
      <c r="U15">
        <f t="shared" si="1"/>
        <v>1.0270246132102592</v>
      </c>
    </row>
    <row r="16" spans="1:21" x14ac:dyDescent="0.25">
      <c r="A16" s="1">
        <v>45406.791666666664</v>
      </c>
      <c r="B16">
        <v>17.5</v>
      </c>
      <c r="C16">
        <v>8.69</v>
      </c>
      <c r="D16">
        <v>1.31</v>
      </c>
      <c r="E16">
        <v>10.1</v>
      </c>
      <c r="F16">
        <v>19.8</v>
      </c>
      <c r="G16">
        <v>12</v>
      </c>
      <c r="H16">
        <v>24.9</v>
      </c>
      <c r="I16">
        <v>4.43</v>
      </c>
      <c r="J16">
        <v>0.14799999999999999</v>
      </c>
      <c r="K16">
        <v>3.69</v>
      </c>
      <c r="L16">
        <v>1.54</v>
      </c>
      <c r="M16">
        <v>9.2899999999999991</v>
      </c>
      <c r="N16">
        <v>8.4499999999999993</v>
      </c>
      <c r="O16">
        <v>0.34699999999999998</v>
      </c>
      <c r="P16" s="2">
        <v>2.88</v>
      </c>
      <c r="Q16">
        <v>6.05</v>
      </c>
      <c r="R16">
        <v>2.93</v>
      </c>
      <c r="S16">
        <v>3.83</v>
      </c>
      <c r="T16">
        <f t="shared" si="0"/>
        <v>7.3589999999999991</v>
      </c>
      <c r="U16">
        <f t="shared" si="1"/>
        <v>1.8353006734333099</v>
      </c>
    </row>
    <row r="17" spans="1:21" x14ac:dyDescent="0.25">
      <c r="A17" s="1">
        <v>45406.833333333336</v>
      </c>
      <c r="B17">
        <v>14.8</v>
      </c>
      <c r="C17">
        <v>4.3</v>
      </c>
      <c r="D17">
        <v>0.48199999999999998</v>
      </c>
      <c r="E17">
        <v>7.58</v>
      </c>
      <c r="F17">
        <v>4.28</v>
      </c>
      <c r="G17">
        <v>12.6</v>
      </c>
      <c r="H17">
        <v>14.3</v>
      </c>
      <c r="I17">
        <v>2.4400000000000002E-2</v>
      </c>
      <c r="J17">
        <v>3.13</v>
      </c>
      <c r="K17">
        <v>6.24</v>
      </c>
      <c r="L17">
        <v>7.97</v>
      </c>
      <c r="M17">
        <v>7.25</v>
      </c>
      <c r="N17">
        <v>21.7</v>
      </c>
      <c r="O17">
        <v>3.36</v>
      </c>
      <c r="P17" s="2">
        <v>13.1</v>
      </c>
      <c r="Q17">
        <v>5.95</v>
      </c>
      <c r="R17">
        <v>18.600000000000001</v>
      </c>
      <c r="S17">
        <v>7.89</v>
      </c>
      <c r="T17">
        <f t="shared" si="0"/>
        <v>8.9316266666666664</v>
      </c>
      <c r="U17">
        <f t="shared" si="1"/>
        <v>1.5501738330623147</v>
      </c>
    </row>
    <row r="18" spans="1:21" x14ac:dyDescent="0.25">
      <c r="A18" s="1">
        <v>45406.875</v>
      </c>
      <c r="B18">
        <v>37.799999999999997</v>
      </c>
      <c r="C18">
        <v>3.66</v>
      </c>
      <c r="D18">
        <v>11.4</v>
      </c>
      <c r="E18">
        <v>3.76</v>
      </c>
      <c r="F18">
        <v>15.6</v>
      </c>
      <c r="G18">
        <v>15.8</v>
      </c>
      <c r="H18">
        <v>1.43</v>
      </c>
      <c r="I18">
        <v>0.252</v>
      </c>
      <c r="J18">
        <v>13.3</v>
      </c>
      <c r="K18">
        <v>2.94</v>
      </c>
      <c r="L18">
        <v>30.4</v>
      </c>
      <c r="M18">
        <v>14.5</v>
      </c>
      <c r="N18">
        <v>30.9</v>
      </c>
      <c r="O18">
        <v>12.3</v>
      </c>
      <c r="P18" s="2">
        <v>33.4</v>
      </c>
      <c r="Q18">
        <v>4.71</v>
      </c>
      <c r="R18">
        <v>20.3</v>
      </c>
      <c r="S18">
        <v>22.3</v>
      </c>
      <c r="T18">
        <f t="shared" si="0"/>
        <v>14.792800000000003</v>
      </c>
      <c r="U18">
        <f t="shared" si="1"/>
        <v>2.8452213290759234</v>
      </c>
    </row>
    <row r="19" spans="1:21" x14ac:dyDescent="0.25">
      <c r="A19" s="1">
        <v>45406.916666666664</v>
      </c>
      <c r="B19">
        <v>9.73</v>
      </c>
      <c r="C19">
        <v>45.6</v>
      </c>
      <c r="D19">
        <v>20.8</v>
      </c>
      <c r="E19">
        <v>20</v>
      </c>
      <c r="F19">
        <v>20.100000000000001</v>
      </c>
      <c r="G19">
        <v>18.5</v>
      </c>
      <c r="H19">
        <v>4.3</v>
      </c>
      <c r="I19">
        <v>9.7899999999999991</v>
      </c>
      <c r="J19">
        <v>20.6</v>
      </c>
      <c r="K19">
        <v>3.52</v>
      </c>
      <c r="L19">
        <v>5.92</v>
      </c>
      <c r="M19">
        <v>27.6</v>
      </c>
      <c r="N19">
        <v>17.2</v>
      </c>
      <c r="O19">
        <v>2.4400000000000002E-2</v>
      </c>
      <c r="P19" s="2">
        <v>4.25</v>
      </c>
      <c r="Q19">
        <v>2.71</v>
      </c>
      <c r="R19">
        <v>0.23699999999999999</v>
      </c>
      <c r="S19">
        <v>9.33</v>
      </c>
      <c r="T19">
        <f t="shared" si="0"/>
        <v>10.93876</v>
      </c>
      <c r="U19">
        <f t="shared" si="1"/>
        <v>2.2966394800685457</v>
      </c>
    </row>
    <row r="20" spans="1:21" x14ac:dyDescent="0.25">
      <c r="A20" s="1">
        <v>45406.958333333336</v>
      </c>
      <c r="B20">
        <v>39.1</v>
      </c>
      <c r="C20">
        <v>43.3</v>
      </c>
      <c r="D20">
        <v>16.5</v>
      </c>
      <c r="E20">
        <v>26.1</v>
      </c>
      <c r="F20">
        <v>16.8</v>
      </c>
      <c r="G20">
        <v>8.44</v>
      </c>
      <c r="H20">
        <v>12.6</v>
      </c>
      <c r="I20">
        <v>8.4500000000000006E-2</v>
      </c>
      <c r="J20">
        <v>3.4</v>
      </c>
      <c r="K20">
        <v>17.5</v>
      </c>
      <c r="L20">
        <v>47.5</v>
      </c>
      <c r="M20">
        <v>16.899999999999999</v>
      </c>
      <c r="N20">
        <v>12.8</v>
      </c>
      <c r="O20">
        <v>1.51</v>
      </c>
      <c r="P20" s="2">
        <v>1.26</v>
      </c>
      <c r="Q20">
        <v>6.63</v>
      </c>
      <c r="R20">
        <v>10.7</v>
      </c>
      <c r="S20">
        <v>15.2</v>
      </c>
      <c r="T20">
        <f t="shared" si="0"/>
        <v>13.161633333333333</v>
      </c>
      <c r="U20">
        <f t="shared" si="1"/>
        <v>3.0952240169972867</v>
      </c>
    </row>
    <row r="21" spans="1:21" x14ac:dyDescent="0.25">
      <c r="A21" s="1">
        <v>45407</v>
      </c>
      <c r="B21">
        <v>5.72</v>
      </c>
      <c r="C21">
        <v>4.99</v>
      </c>
      <c r="D21">
        <v>1.5</v>
      </c>
      <c r="E21">
        <v>26.1</v>
      </c>
      <c r="F21">
        <v>28.9</v>
      </c>
      <c r="G21">
        <v>10.1</v>
      </c>
      <c r="H21">
        <v>32.700000000000003</v>
      </c>
      <c r="I21">
        <v>11</v>
      </c>
      <c r="J21">
        <v>22.7</v>
      </c>
      <c r="K21">
        <v>11</v>
      </c>
      <c r="L21">
        <v>25.2</v>
      </c>
      <c r="M21">
        <v>6.54</v>
      </c>
      <c r="N21">
        <v>7.79</v>
      </c>
      <c r="O21">
        <v>18.399999999999999</v>
      </c>
      <c r="P21" s="2">
        <v>24.8</v>
      </c>
      <c r="Q21">
        <v>29.2</v>
      </c>
      <c r="R21">
        <v>12.2</v>
      </c>
      <c r="S21">
        <v>5.25</v>
      </c>
      <c r="T21">
        <f t="shared" si="0"/>
        <v>18.125333333333334</v>
      </c>
      <c r="U21">
        <f t="shared" si="1"/>
        <v>2.4282391948285476</v>
      </c>
    </row>
    <row r="22" spans="1:21" x14ac:dyDescent="0.25">
      <c r="A22" s="1">
        <v>45407.041666666664</v>
      </c>
      <c r="B22">
        <v>3.37</v>
      </c>
      <c r="C22">
        <v>2.4400000000000002E-2</v>
      </c>
      <c r="D22">
        <v>26.4</v>
      </c>
      <c r="E22">
        <v>2.99</v>
      </c>
      <c r="F22">
        <v>1.51</v>
      </c>
      <c r="G22">
        <v>8.68</v>
      </c>
      <c r="H22">
        <v>6.11</v>
      </c>
      <c r="I22">
        <v>9.75</v>
      </c>
      <c r="J22">
        <v>13.2</v>
      </c>
      <c r="K22">
        <v>29.1</v>
      </c>
      <c r="L22">
        <v>15.8</v>
      </c>
      <c r="M22">
        <v>15.1</v>
      </c>
      <c r="N22">
        <v>39.799999999999997</v>
      </c>
      <c r="O22">
        <v>12.8</v>
      </c>
      <c r="P22" s="2">
        <v>0.122</v>
      </c>
      <c r="Q22">
        <v>17.8</v>
      </c>
      <c r="R22">
        <v>4.45</v>
      </c>
      <c r="S22">
        <v>4.7300000000000004</v>
      </c>
      <c r="T22">
        <f t="shared" si="0"/>
        <v>12.129466666666668</v>
      </c>
      <c r="U22">
        <f t="shared" si="1"/>
        <v>2.7754948591225799</v>
      </c>
    </row>
    <row r="23" spans="1:21" x14ac:dyDescent="0.25">
      <c r="A23" s="1">
        <v>45407.083333333336</v>
      </c>
      <c r="B23">
        <v>45.5</v>
      </c>
      <c r="C23">
        <v>35.9</v>
      </c>
      <c r="D23">
        <v>2.2400000000000002</v>
      </c>
      <c r="E23">
        <v>31.8</v>
      </c>
      <c r="F23">
        <v>14</v>
      </c>
      <c r="G23">
        <v>18.3</v>
      </c>
      <c r="H23">
        <v>23.2</v>
      </c>
      <c r="I23">
        <v>25.5</v>
      </c>
      <c r="J23">
        <v>1.94</v>
      </c>
      <c r="K23">
        <v>28.6</v>
      </c>
      <c r="L23">
        <v>2.4400000000000002E-2</v>
      </c>
      <c r="M23">
        <v>3.85</v>
      </c>
      <c r="N23">
        <v>41.4</v>
      </c>
      <c r="O23">
        <v>22.5</v>
      </c>
      <c r="P23" s="2">
        <v>1.07</v>
      </c>
      <c r="Q23">
        <v>32.9</v>
      </c>
      <c r="R23">
        <v>4.0599999999999996</v>
      </c>
      <c r="S23">
        <v>22.4</v>
      </c>
      <c r="T23">
        <f t="shared" si="0"/>
        <v>18.102959999999999</v>
      </c>
      <c r="U23">
        <f t="shared" si="1"/>
        <v>3.4319353029310968</v>
      </c>
    </row>
    <row r="24" spans="1:21" x14ac:dyDescent="0.25">
      <c r="A24" s="1">
        <v>45407.125</v>
      </c>
      <c r="B24">
        <v>33.700000000000003</v>
      </c>
      <c r="C24">
        <v>26.5</v>
      </c>
      <c r="D24">
        <v>3.96</v>
      </c>
      <c r="E24">
        <v>28.5</v>
      </c>
      <c r="F24">
        <v>13.5</v>
      </c>
      <c r="G24">
        <v>3.19</v>
      </c>
      <c r="H24">
        <v>4.17</v>
      </c>
      <c r="I24">
        <v>0.27900000000000003</v>
      </c>
      <c r="J24">
        <v>9.39</v>
      </c>
      <c r="K24">
        <v>18.100000000000001</v>
      </c>
      <c r="L24">
        <v>2.33</v>
      </c>
      <c r="M24">
        <v>9.09</v>
      </c>
      <c r="N24">
        <v>27.9</v>
      </c>
      <c r="O24">
        <v>39.6</v>
      </c>
      <c r="P24" s="2">
        <v>1.36</v>
      </c>
      <c r="Q24">
        <v>1.68</v>
      </c>
      <c r="R24">
        <v>14.9</v>
      </c>
      <c r="S24">
        <v>7.09</v>
      </c>
      <c r="T24">
        <f t="shared" si="0"/>
        <v>12.071933333333336</v>
      </c>
      <c r="U24">
        <f t="shared" si="1"/>
        <v>3.0577991034116994</v>
      </c>
    </row>
    <row r="25" spans="1:21" x14ac:dyDescent="0.25">
      <c r="A25" s="1">
        <v>45407.166666666664</v>
      </c>
      <c r="B25">
        <v>3.33</v>
      </c>
      <c r="C25">
        <v>5.45E-2</v>
      </c>
      <c r="D25">
        <v>8.51</v>
      </c>
      <c r="E25">
        <v>0.64800000000000002</v>
      </c>
      <c r="F25">
        <v>11.6</v>
      </c>
      <c r="G25">
        <v>13.9</v>
      </c>
      <c r="H25">
        <v>26.8</v>
      </c>
      <c r="I25">
        <v>4.7899999999999998E-2</v>
      </c>
      <c r="J25">
        <v>17.600000000000001</v>
      </c>
      <c r="K25">
        <v>13</v>
      </c>
      <c r="L25">
        <v>56.8</v>
      </c>
      <c r="M25">
        <v>8.7899999999999991</v>
      </c>
      <c r="N25">
        <v>4.3099999999999996</v>
      </c>
      <c r="O25">
        <v>29.5</v>
      </c>
      <c r="P25" s="2">
        <v>13.8</v>
      </c>
      <c r="Q25">
        <v>15.3</v>
      </c>
      <c r="R25">
        <v>15.3</v>
      </c>
      <c r="S25">
        <v>7.55</v>
      </c>
      <c r="T25">
        <f t="shared" si="0"/>
        <v>15.663060000000002</v>
      </c>
      <c r="U25">
        <f t="shared" si="1"/>
        <v>3.6208215129113861</v>
      </c>
    </row>
    <row r="26" spans="1:21" x14ac:dyDescent="0.25">
      <c r="A26" s="1">
        <v>45407.208333333336</v>
      </c>
      <c r="B26">
        <v>7.26</v>
      </c>
      <c r="C26">
        <v>27.3</v>
      </c>
      <c r="D26">
        <v>9.99</v>
      </c>
      <c r="E26">
        <v>2.14</v>
      </c>
      <c r="F26">
        <v>10.9</v>
      </c>
      <c r="G26">
        <v>11.8</v>
      </c>
      <c r="H26">
        <v>37.1</v>
      </c>
      <c r="I26">
        <v>2.4400000000000002E-2</v>
      </c>
      <c r="J26">
        <v>1.3</v>
      </c>
      <c r="K26">
        <v>22.9</v>
      </c>
      <c r="L26">
        <v>21.3</v>
      </c>
      <c r="M26">
        <v>11.4</v>
      </c>
      <c r="N26">
        <v>24.2</v>
      </c>
      <c r="O26">
        <v>11.8</v>
      </c>
      <c r="P26" s="2">
        <v>3.86</v>
      </c>
      <c r="Q26">
        <v>13.1</v>
      </c>
      <c r="R26">
        <v>30.4</v>
      </c>
      <c r="S26">
        <v>18</v>
      </c>
      <c r="T26">
        <f t="shared" si="0"/>
        <v>14.681626666666668</v>
      </c>
      <c r="U26">
        <f t="shared" si="1"/>
        <v>2.8242886771289384</v>
      </c>
    </row>
    <row r="27" spans="1:21" x14ac:dyDescent="0.25">
      <c r="A27" s="1">
        <v>45407.25</v>
      </c>
      <c r="B27">
        <v>11.4</v>
      </c>
      <c r="C27">
        <v>2.4900000000000002</v>
      </c>
      <c r="D27">
        <v>4.03</v>
      </c>
      <c r="E27">
        <v>3.41</v>
      </c>
      <c r="F27">
        <v>0.31900000000000001</v>
      </c>
      <c r="G27">
        <v>4.74</v>
      </c>
      <c r="H27">
        <v>4.03</v>
      </c>
      <c r="I27">
        <v>2.4400000000000002E-2</v>
      </c>
      <c r="J27">
        <v>13.3</v>
      </c>
      <c r="K27">
        <v>22</v>
      </c>
      <c r="L27">
        <v>29.8</v>
      </c>
      <c r="M27">
        <v>16.899999999999999</v>
      </c>
      <c r="N27">
        <v>54.9</v>
      </c>
      <c r="O27">
        <v>11.9</v>
      </c>
      <c r="P27" s="2">
        <v>24.6</v>
      </c>
      <c r="Q27">
        <v>26.8</v>
      </c>
      <c r="R27">
        <v>4.6100000000000003</v>
      </c>
      <c r="S27">
        <v>15.5</v>
      </c>
      <c r="T27">
        <f t="shared" si="0"/>
        <v>15.52222666666667</v>
      </c>
      <c r="U27">
        <f t="shared" si="1"/>
        <v>3.7868244303922864</v>
      </c>
    </row>
    <row r="52" spans="1:4" x14ac:dyDescent="0.25">
      <c r="A52" s="1"/>
      <c r="D52" s="2"/>
    </row>
    <row r="53" spans="1:4" x14ac:dyDescent="0.25">
      <c r="A53" s="1"/>
      <c r="D53" s="2"/>
    </row>
    <row r="54" spans="1:4" x14ac:dyDescent="0.25">
      <c r="A54" s="1"/>
      <c r="D54" s="2"/>
    </row>
    <row r="55" spans="1:4" x14ac:dyDescent="0.25">
      <c r="A55" s="1"/>
      <c r="D55" s="2"/>
    </row>
    <row r="56" spans="1:4" x14ac:dyDescent="0.25">
      <c r="A56" s="1"/>
      <c r="D56" s="2"/>
    </row>
    <row r="57" spans="1:4" x14ac:dyDescent="0.25">
      <c r="A57" s="1"/>
      <c r="D57" s="2"/>
    </row>
    <row r="58" spans="1:4" x14ac:dyDescent="0.25">
      <c r="A58" s="1"/>
      <c r="D58" s="2"/>
    </row>
    <row r="59" spans="1:4" x14ac:dyDescent="0.25">
      <c r="A59" s="1"/>
      <c r="D59" s="2"/>
    </row>
    <row r="60" spans="1:4" x14ac:dyDescent="0.25">
      <c r="A60" s="1"/>
      <c r="D60" s="2"/>
    </row>
    <row r="61" spans="1:4" x14ac:dyDescent="0.25">
      <c r="A61" s="1"/>
      <c r="D61" s="2"/>
    </row>
    <row r="62" spans="1:4" x14ac:dyDescent="0.25">
      <c r="A62" s="1"/>
      <c r="D62" s="2"/>
    </row>
    <row r="63" spans="1:4" x14ac:dyDescent="0.25">
      <c r="A63" s="1"/>
      <c r="D63" s="2"/>
    </row>
    <row r="64" spans="1:4" x14ac:dyDescent="0.25">
      <c r="A64" s="1"/>
      <c r="D64" s="2"/>
    </row>
    <row r="65" spans="1:4" x14ac:dyDescent="0.25">
      <c r="A65" s="1"/>
      <c r="D65" s="2"/>
    </row>
    <row r="66" spans="1:4" x14ac:dyDescent="0.25">
      <c r="A66" s="1"/>
      <c r="D66" s="2"/>
    </row>
    <row r="67" spans="1:4" x14ac:dyDescent="0.25">
      <c r="A67" s="1"/>
      <c r="D67" s="2"/>
    </row>
    <row r="68" spans="1:4" x14ac:dyDescent="0.25">
      <c r="A68" s="1"/>
      <c r="D68" s="2"/>
    </row>
    <row r="69" spans="1:4" x14ac:dyDescent="0.25">
      <c r="A69" s="1"/>
      <c r="D69" s="2"/>
    </row>
    <row r="70" spans="1:4" x14ac:dyDescent="0.25">
      <c r="A70" s="1"/>
      <c r="D70" s="2"/>
    </row>
    <row r="71" spans="1:4" x14ac:dyDescent="0.25">
      <c r="A71" s="1"/>
      <c r="D71" s="2"/>
    </row>
    <row r="72" spans="1:4" x14ac:dyDescent="0.25">
      <c r="A72" s="1"/>
      <c r="D72" s="2"/>
    </row>
    <row r="73" spans="1:4" x14ac:dyDescent="0.25">
      <c r="A73" s="1"/>
      <c r="D73" s="2"/>
    </row>
    <row r="74" spans="1:4" x14ac:dyDescent="0.25">
      <c r="A74" s="1"/>
      <c r="D74" s="2"/>
    </row>
    <row r="75" spans="1:4" x14ac:dyDescent="0.25">
      <c r="A75" s="1"/>
      <c r="D75" s="2"/>
    </row>
    <row r="76" spans="1:4" x14ac:dyDescent="0.25">
      <c r="A76" s="1"/>
    </row>
    <row r="77" spans="1:4" x14ac:dyDescent="0.25">
      <c r="A77" s="1"/>
    </row>
    <row r="78" spans="1:4" x14ac:dyDescent="0.25">
      <c r="A78" s="1"/>
    </row>
    <row r="79" spans="1:4" x14ac:dyDescent="0.25">
      <c r="A79" s="1"/>
    </row>
    <row r="80" spans="1: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79A4-5EEB-452C-8E4C-1984192DFA2D}">
  <dimension ref="A1:AJ55"/>
  <sheetViews>
    <sheetView tabSelected="1" zoomScale="70" zoomScaleNormal="70" workbookViewId="0">
      <selection activeCell="K28" sqref="K28"/>
    </sheetView>
  </sheetViews>
  <sheetFormatPr defaultRowHeight="15.7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1</v>
      </c>
      <c r="H1" t="s">
        <v>2</v>
      </c>
      <c r="I1" t="s">
        <v>5</v>
      </c>
      <c r="J1" t="s">
        <v>3</v>
      </c>
      <c r="K1" t="s">
        <v>4</v>
      </c>
      <c r="L1" t="s">
        <v>1</v>
      </c>
      <c r="M1" t="s">
        <v>2</v>
      </c>
      <c r="N1" t="s">
        <v>5</v>
      </c>
      <c r="O1" t="s">
        <v>3</v>
      </c>
      <c r="P1" t="s">
        <v>4</v>
      </c>
      <c r="Q1" t="s">
        <v>14</v>
      </c>
      <c r="R1">
        <v>536</v>
      </c>
      <c r="S1" t="s">
        <v>15</v>
      </c>
      <c r="T1" t="s">
        <v>16</v>
      </c>
      <c r="U1" t="s">
        <v>17</v>
      </c>
      <c r="V1" t="s">
        <v>18</v>
      </c>
      <c r="W1" t="s">
        <v>14</v>
      </c>
      <c r="X1">
        <v>536</v>
      </c>
      <c r="Y1" t="s">
        <v>15</v>
      </c>
      <c r="Z1" t="s">
        <v>16</v>
      </c>
      <c r="AA1" t="s">
        <v>17</v>
      </c>
      <c r="AB1" t="s">
        <v>18</v>
      </c>
      <c r="AC1" t="s">
        <v>14</v>
      </c>
      <c r="AD1">
        <v>536</v>
      </c>
      <c r="AE1" t="s">
        <v>15</v>
      </c>
      <c r="AF1" t="s">
        <v>16</v>
      </c>
      <c r="AG1" t="s">
        <v>17</v>
      </c>
      <c r="AH1" t="s">
        <v>18</v>
      </c>
    </row>
    <row r="2" spans="1:36" x14ac:dyDescent="0.25">
      <c r="B2" t="s">
        <v>6</v>
      </c>
      <c r="C2" t="s">
        <v>7</v>
      </c>
      <c r="D2" t="s">
        <v>10</v>
      </c>
      <c r="E2" t="s">
        <v>8</v>
      </c>
      <c r="F2" t="s">
        <v>9</v>
      </c>
      <c r="G2" t="s">
        <v>6</v>
      </c>
      <c r="H2" t="s">
        <v>7</v>
      </c>
      <c r="I2" t="s">
        <v>10</v>
      </c>
      <c r="J2" t="s">
        <v>8</v>
      </c>
      <c r="K2" t="s">
        <v>9</v>
      </c>
      <c r="L2" t="s">
        <v>6</v>
      </c>
      <c r="M2" t="s">
        <v>7</v>
      </c>
      <c r="N2" t="s">
        <v>10</v>
      </c>
      <c r="O2" t="s">
        <v>8</v>
      </c>
      <c r="P2" t="s">
        <v>9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</row>
    <row r="3" spans="1:36" x14ac:dyDescent="0.25">
      <c r="A3" t="s">
        <v>26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  <c r="Z3" t="s">
        <v>25</v>
      </c>
      <c r="AA3" t="s">
        <v>25</v>
      </c>
      <c r="AB3" t="s">
        <v>25</v>
      </c>
      <c r="AC3" t="s">
        <v>25</v>
      </c>
      <c r="AD3" t="s">
        <v>25</v>
      </c>
      <c r="AE3" t="s">
        <v>25</v>
      </c>
      <c r="AF3" t="s">
        <v>25</v>
      </c>
      <c r="AG3" t="s">
        <v>25</v>
      </c>
      <c r="AH3" t="s">
        <v>25</v>
      </c>
    </row>
    <row r="4" spans="1:36" x14ac:dyDescent="0.25">
      <c r="A4" s="1">
        <v>45406.291666666664</v>
      </c>
      <c r="B4">
        <v>11.4</v>
      </c>
      <c r="C4">
        <v>6.97</v>
      </c>
      <c r="D4">
        <v>4.8499999999999996</v>
      </c>
      <c r="E4">
        <v>16.3</v>
      </c>
      <c r="F4">
        <v>2.65</v>
      </c>
      <c r="G4">
        <v>0.69399999999999995</v>
      </c>
      <c r="H4">
        <v>11.8</v>
      </c>
      <c r="I4">
        <v>20.399999999999999</v>
      </c>
      <c r="J4">
        <v>0.219</v>
      </c>
      <c r="K4">
        <v>2.4400000000000002E-2</v>
      </c>
      <c r="L4">
        <v>14.9</v>
      </c>
      <c r="M4">
        <v>5.81</v>
      </c>
      <c r="N4">
        <v>28.4</v>
      </c>
      <c r="O4">
        <v>0.69399999999999995</v>
      </c>
      <c r="P4">
        <v>2.4400000000000002E-2</v>
      </c>
      <c r="Q4">
        <v>2.58</v>
      </c>
      <c r="R4">
        <v>17.3</v>
      </c>
      <c r="S4">
        <v>0.18</v>
      </c>
      <c r="T4">
        <v>1.41</v>
      </c>
      <c r="U4">
        <v>8.3699999999999992</v>
      </c>
      <c r="V4">
        <v>2.02</v>
      </c>
      <c r="W4">
        <v>1.35</v>
      </c>
      <c r="X4">
        <v>0.76400000000000001</v>
      </c>
      <c r="Y4">
        <v>23.5</v>
      </c>
      <c r="Z4">
        <v>2.5</v>
      </c>
      <c r="AA4">
        <v>1.38</v>
      </c>
      <c r="AB4">
        <v>12</v>
      </c>
      <c r="AC4">
        <v>24.3</v>
      </c>
      <c r="AD4">
        <v>5.29</v>
      </c>
      <c r="AE4" s="2">
        <v>27.4</v>
      </c>
      <c r="AF4">
        <v>16</v>
      </c>
      <c r="AG4">
        <v>0.17799999999999999</v>
      </c>
      <c r="AH4">
        <v>21.8</v>
      </c>
      <c r="AI4">
        <f>AVERAGE(B4:AH4)</f>
        <v>8.8926606060606073</v>
      </c>
      <c r="AJ4">
        <f>STDEV(B4:AH4)/(COUNT(B4:AH4)^0.5)</f>
        <v>1.5910838174425752</v>
      </c>
    </row>
    <row r="5" spans="1:36" x14ac:dyDescent="0.25">
      <c r="A5" s="1">
        <v>45406.333333333336</v>
      </c>
      <c r="B5">
        <v>1.77</v>
      </c>
      <c r="C5">
        <v>4.17</v>
      </c>
      <c r="D5">
        <v>9.48</v>
      </c>
      <c r="E5">
        <v>0.35599999999999998</v>
      </c>
      <c r="F5">
        <v>3.9600000000000003E-2</v>
      </c>
      <c r="G5">
        <v>4.37</v>
      </c>
      <c r="H5">
        <v>4.21</v>
      </c>
      <c r="I5">
        <v>3.34</v>
      </c>
      <c r="J5">
        <v>2.4400000000000002E-2</v>
      </c>
      <c r="K5">
        <v>2.4400000000000002E-2</v>
      </c>
      <c r="L5">
        <v>2.4400000000000002E-2</v>
      </c>
      <c r="M5">
        <v>7.8</v>
      </c>
      <c r="N5">
        <v>0.114</v>
      </c>
      <c r="O5">
        <v>0.83</v>
      </c>
      <c r="P5">
        <v>2.3199999999999998</v>
      </c>
      <c r="Q5">
        <v>2.08</v>
      </c>
      <c r="R5">
        <v>2.4700000000000002</v>
      </c>
      <c r="S5">
        <v>4.53E-2</v>
      </c>
      <c r="T5">
        <v>1.55</v>
      </c>
      <c r="U5">
        <v>3.91</v>
      </c>
      <c r="V5">
        <v>7.08</v>
      </c>
      <c r="W5">
        <v>26.2</v>
      </c>
      <c r="X5">
        <v>16.399999999999999</v>
      </c>
      <c r="Y5">
        <v>2.4400000000000002E-2</v>
      </c>
      <c r="Z5">
        <v>2.13</v>
      </c>
      <c r="AA5">
        <v>2.4400000000000002E-2</v>
      </c>
      <c r="AB5">
        <v>4.63</v>
      </c>
      <c r="AC5">
        <v>7.78</v>
      </c>
      <c r="AD5">
        <v>0.53300000000000003</v>
      </c>
      <c r="AE5" s="2">
        <v>0.32100000000000001</v>
      </c>
      <c r="AF5">
        <v>3.96</v>
      </c>
      <c r="AG5">
        <v>8.77</v>
      </c>
      <c r="AH5">
        <v>5.59</v>
      </c>
      <c r="AI5">
        <f t="shared" ref="AI5:AI27" si="0">AVERAGE(B5:AH5)</f>
        <v>4.011239393939392</v>
      </c>
      <c r="AJ5">
        <f t="shared" ref="AJ5:AJ27" si="1">STDEV(B5:AH5)/(COUNT(B5:AH5)^0.5)</f>
        <v>0.94289171304913444</v>
      </c>
    </row>
    <row r="6" spans="1:36" x14ac:dyDescent="0.25">
      <c r="A6" s="1">
        <v>45406.375</v>
      </c>
      <c r="B6">
        <v>0.10299999999999999</v>
      </c>
      <c r="C6">
        <v>14.9</v>
      </c>
      <c r="D6">
        <v>2.5099999999999998</v>
      </c>
      <c r="E6">
        <v>2.4</v>
      </c>
      <c r="F6">
        <v>2.4400000000000002E-2</v>
      </c>
      <c r="G6">
        <v>3.28</v>
      </c>
      <c r="H6">
        <v>1.5</v>
      </c>
      <c r="I6">
        <v>2.85</v>
      </c>
      <c r="J6">
        <v>2.36</v>
      </c>
      <c r="K6">
        <v>0.68100000000000005</v>
      </c>
      <c r="L6">
        <v>0.45500000000000002</v>
      </c>
      <c r="M6">
        <v>1.41</v>
      </c>
      <c r="N6">
        <v>0.60899999999999999</v>
      </c>
      <c r="O6">
        <v>0.59699999999999998</v>
      </c>
      <c r="P6">
        <v>20.100000000000001</v>
      </c>
      <c r="Q6">
        <v>1.9</v>
      </c>
      <c r="R6">
        <v>2.4400000000000002E-2</v>
      </c>
      <c r="S6">
        <v>1.44</v>
      </c>
      <c r="T6">
        <v>5.47</v>
      </c>
      <c r="U6">
        <v>11.3</v>
      </c>
      <c r="V6">
        <v>1.81</v>
      </c>
      <c r="W6">
        <v>23.9</v>
      </c>
      <c r="X6">
        <v>1.56</v>
      </c>
      <c r="Y6">
        <v>0.93</v>
      </c>
      <c r="Z6">
        <v>1.72</v>
      </c>
      <c r="AA6">
        <v>1.05</v>
      </c>
      <c r="AB6">
        <v>1.95</v>
      </c>
      <c r="AC6">
        <v>2.16</v>
      </c>
      <c r="AD6">
        <v>2.56</v>
      </c>
      <c r="AE6" s="2">
        <v>6.6000000000000003E-2</v>
      </c>
      <c r="AF6">
        <v>3.07</v>
      </c>
      <c r="AG6">
        <v>2.85</v>
      </c>
      <c r="AH6">
        <v>2.71</v>
      </c>
      <c r="AI6">
        <f t="shared" si="0"/>
        <v>3.6439333333333326</v>
      </c>
      <c r="AJ6">
        <f t="shared" si="1"/>
        <v>0.98042096187033223</v>
      </c>
    </row>
    <row r="7" spans="1:36" x14ac:dyDescent="0.25">
      <c r="A7" s="1">
        <v>45406.416666666664</v>
      </c>
      <c r="B7">
        <v>2.5</v>
      </c>
      <c r="C7">
        <v>9.5500000000000007</v>
      </c>
      <c r="D7">
        <v>3.63</v>
      </c>
      <c r="E7">
        <v>3.89</v>
      </c>
      <c r="F7">
        <v>6.67</v>
      </c>
      <c r="G7">
        <v>0.41299999999999998</v>
      </c>
      <c r="H7">
        <v>21.1</v>
      </c>
      <c r="I7">
        <v>41.1</v>
      </c>
      <c r="J7">
        <v>2.4400000000000002E-2</v>
      </c>
      <c r="K7">
        <v>0.26300000000000001</v>
      </c>
      <c r="L7">
        <v>5.17</v>
      </c>
      <c r="M7">
        <v>14.3</v>
      </c>
      <c r="N7">
        <v>13.7</v>
      </c>
      <c r="O7">
        <v>2.59</v>
      </c>
      <c r="P7">
        <v>3.18</v>
      </c>
      <c r="Q7">
        <v>0.96899999999999997</v>
      </c>
      <c r="R7">
        <v>7.46</v>
      </c>
      <c r="S7">
        <v>5.7000000000000002E-2</v>
      </c>
      <c r="T7">
        <v>2</v>
      </c>
      <c r="U7">
        <v>6.98</v>
      </c>
      <c r="V7">
        <v>3.52</v>
      </c>
      <c r="W7">
        <v>0.46</v>
      </c>
      <c r="X7">
        <v>0.65500000000000003</v>
      </c>
      <c r="Y7">
        <v>5.41</v>
      </c>
      <c r="Z7">
        <v>10.8</v>
      </c>
      <c r="AA7">
        <v>1.05</v>
      </c>
      <c r="AB7">
        <v>3.58</v>
      </c>
      <c r="AC7">
        <v>6.84</v>
      </c>
      <c r="AD7">
        <v>29.2</v>
      </c>
      <c r="AE7" s="2">
        <v>2.33</v>
      </c>
      <c r="AF7">
        <v>5.7</v>
      </c>
      <c r="AG7">
        <v>6.94</v>
      </c>
      <c r="AH7">
        <v>8.6300000000000008</v>
      </c>
      <c r="AI7">
        <f t="shared" si="0"/>
        <v>6.989739393939395</v>
      </c>
      <c r="AJ7">
        <f t="shared" si="1"/>
        <v>1.5295493165814928</v>
      </c>
    </row>
    <row r="8" spans="1:36" x14ac:dyDescent="0.25">
      <c r="A8" s="1">
        <v>45406.458333333336</v>
      </c>
      <c r="B8">
        <v>23.1</v>
      </c>
      <c r="C8">
        <v>1.31</v>
      </c>
      <c r="D8">
        <v>2.91</v>
      </c>
      <c r="E8">
        <v>32.700000000000003</v>
      </c>
      <c r="F8">
        <v>17.399999999999999</v>
      </c>
      <c r="G8">
        <v>12.2</v>
      </c>
      <c r="H8">
        <v>2.08</v>
      </c>
      <c r="I8">
        <v>20</v>
      </c>
      <c r="J8">
        <v>1</v>
      </c>
      <c r="K8">
        <v>2.4400000000000002E-2</v>
      </c>
      <c r="L8">
        <v>12.2</v>
      </c>
      <c r="M8">
        <v>9.99</v>
      </c>
      <c r="N8">
        <v>0.18099999999999999</v>
      </c>
      <c r="O8">
        <v>19.3</v>
      </c>
      <c r="P8">
        <v>28.2</v>
      </c>
      <c r="Q8">
        <v>7.92</v>
      </c>
      <c r="R8">
        <v>0.51500000000000001</v>
      </c>
      <c r="S8">
        <v>1.2</v>
      </c>
      <c r="T8">
        <v>3.08</v>
      </c>
      <c r="U8">
        <v>10.6</v>
      </c>
      <c r="V8">
        <v>3.52</v>
      </c>
      <c r="W8">
        <v>0.624</v>
      </c>
      <c r="X8">
        <v>4.38</v>
      </c>
      <c r="Y8">
        <v>6.8900000000000003E-2</v>
      </c>
      <c r="Z8">
        <v>15.5</v>
      </c>
      <c r="AA8">
        <v>0.38600000000000001</v>
      </c>
      <c r="AB8">
        <v>1.94</v>
      </c>
      <c r="AC8">
        <v>24.4</v>
      </c>
      <c r="AD8">
        <v>27.6</v>
      </c>
      <c r="AE8" s="2">
        <v>2.4400000000000002E-2</v>
      </c>
      <c r="AF8">
        <v>20.3</v>
      </c>
      <c r="AG8">
        <v>27.5</v>
      </c>
      <c r="AH8">
        <v>13.1</v>
      </c>
      <c r="AI8">
        <f t="shared" si="0"/>
        <v>10.462233333333334</v>
      </c>
      <c r="AJ8">
        <f t="shared" si="1"/>
        <v>1.8032403040265197</v>
      </c>
    </row>
    <row r="9" spans="1:36" x14ac:dyDescent="0.25">
      <c r="A9" s="1">
        <v>45406.5</v>
      </c>
      <c r="B9">
        <v>4.1399999999999997</v>
      </c>
      <c r="C9">
        <v>2.0499999999999998</v>
      </c>
      <c r="D9">
        <v>2.4700000000000002</v>
      </c>
      <c r="E9">
        <v>2.21</v>
      </c>
      <c r="F9">
        <v>8.3000000000000004E-2</v>
      </c>
      <c r="G9">
        <v>0.81</v>
      </c>
      <c r="H9">
        <v>1.44</v>
      </c>
      <c r="I9">
        <v>3.39E-2</v>
      </c>
      <c r="J9">
        <v>2.52</v>
      </c>
      <c r="K9">
        <v>0.95199999999999996</v>
      </c>
      <c r="L9">
        <v>0.60299999999999998</v>
      </c>
      <c r="M9">
        <v>1.42</v>
      </c>
      <c r="N9">
        <v>0.68799999999999994</v>
      </c>
      <c r="O9">
        <v>0.19800000000000001</v>
      </c>
      <c r="P9">
        <v>0.27800000000000002</v>
      </c>
      <c r="Q9">
        <v>2.4400000000000002E-2</v>
      </c>
      <c r="R9">
        <v>1.49</v>
      </c>
      <c r="S9">
        <v>2.4400000000000002E-2</v>
      </c>
      <c r="T9">
        <v>9.36</v>
      </c>
      <c r="U9">
        <v>0.748</v>
      </c>
      <c r="V9">
        <v>4.5</v>
      </c>
      <c r="W9">
        <v>14.6</v>
      </c>
      <c r="X9">
        <v>2.4400000000000002E-2</v>
      </c>
      <c r="Y9">
        <v>2.2200000000000002</v>
      </c>
      <c r="Z9">
        <v>6.25</v>
      </c>
      <c r="AA9">
        <v>1.71</v>
      </c>
      <c r="AB9">
        <v>3.8</v>
      </c>
      <c r="AC9">
        <v>0.28999999999999998</v>
      </c>
      <c r="AD9">
        <v>2.0699999999999998</v>
      </c>
      <c r="AE9" s="2">
        <v>0.2</v>
      </c>
      <c r="AF9">
        <v>2.0499999999999998</v>
      </c>
      <c r="AG9">
        <v>8.66</v>
      </c>
      <c r="AH9">
        <v>2.96</v>
      </c>
      <c r="AI9">
        <f t="shared" si="0"/>
        <v>2.4508212121212116</v>
      </c>
      <c r="AJ9">
        <f t="shared" si="1"/>
        <v>0.55442500332650091</v>
      </c>
    </row>
    <row r="10" spans="1:36" x14ac:dyDescent="0.25">
      <c r="A10" s="1">
        <v>45406.541666666664</v>
      </c>
      <c r="B10">
        <v>9.48</v>
      </c>
      <c r="C10">
        <v>2.12</v>
      </c>
      <c r="D10">
        <v>9.98</v>
      </c>
      <c r="E10">
        <v>0.153</v>
      </c>
      <c r="F10">
        <v>2.56</v>
      </c>
      <c r="G10">
        <v>1.18</v>
      </c>
      <c r="H10">
        <v>24.8</v>
      </c>
      <c r="I10">
        <v>0.80400000000000005</v>
      </c>
      <c r="J10">
        <v>8.85</v>
      </c>
      <c r="K10">
        <v>2.4400000000000002E-2</v>
      </c>
      <c r="L10">
        <v>0.82099999999999995</v>
      </c>
      <c r="M10">
        <v>1.34</v>
      </c>
      <c r="N10">
        <v>0.60799999999999998</v>
      </c>
      <c r="O10">
        <v>2.4400000000000002E-2</v>
      </c>
      <c r="P10">
        <v>0.66900000000000004</v>
      </c>
      <c r="Q10">
        <v>2.4900000000000002</v>
      </c>
      <c r="R10">
        <v>0.26300000000000001</v>
      </c>
      <c r="S10">
        <v>2.57</v>
      </c>
      <c r="T10">
        <v>1.05</v>
      </c>
      <c r="U10">
        <v>1.2</v>
      </c>
      <c r="V10">
        <v>1.04</v>
      </c>
      <c r="W10">
        <v>17.899999999999999</v>
      </c>
      <c r="X10">
        <v>0.44400000000000001</v>
      </c>
      <c r="Y10">
        <v>7.6700000000000004E-2</v>
      </c>
      <c r="Z10">
        <v>0.79700000000000004</v>
      </c>
      <c r="AA10">
        <v>5.63</v>
      </c>
      <c r="AB10">
        <v>8.0399999999999991</v>
      </c>
      <c r="AC10">
        <v>0.98599999999999999</v>
      </c>
      <c r="AD10">
        <v>5.2400000000000002E-2</v>
      </c>
      <c r="AE10" s="2">
        <v>0.61499999999999999</v>
      </c>
      <c r="AF10">
        <v>1.36</v>
      </c>
      <c r="AG10">
        <v>3.06</v>
      </c>
      <c r="AH10">
        <v>2.25</v>
      </c>
      <c r="AI10">
        <f t="shared" si="0"/>
        <v>3.4314515151515148</v>
      </c>
      <c r="AJ10">
        <f t="shared" si="1"/>
        <v>0.95464131464310076</v>
      </c>
    </row>
    <row r="11" spans="1:36" x14ac:dyDescent="0.25">
      <c r="A11" s="1">
        <v>45406.583333333336</v>
      </c>
      <c r="B11">
        <v>8.42</v>
      </c>
      <c r="C11">
        <v>14.2</v>
      </c>
      <c r="D11">
        <v>2.63</v>
      </c>
      <c r="E11">
        <v>12.6</v>
      </c>
      <c r="F11">
        <v>16.600000000000001</v>
      </c>
      <c r="G11">
        <v>5.85</v>
      </c>
      <c r="H11">
        <v>6.01</v>
      </c>
      <c r="I11">
        <v>2.62</v>
      </c>
      <c r="J11">
        <v>1.71</v>
      </c>
      <c r="K11">
        <v>4.4000000000000004</v>
      </c>
      <c r="L11">
        <v>2.06</v>
      </c>
      <c r="M11">
        <v>20.2</v>
      </c>
      <c r="N11">
        <v>2.4400000000000002E-2</v>
      </c>
      <c r="O11">
        <v>17.2</v>
      </c>
      <c r="P11">
        <v>0.20100000000000001</v>
      </c>
      <c r="Q11">
        <v>22</v>
      </c>
      <c r="R11">
        <v>0.57299999999999995</v>
      </c>
      <c r="S11">
        <v>9.5</v>
      </c>
      <c r="T11">
        <v>26.2</v>
      </c>
      <c r="U11">
        <v>21</v>
      </c>
      <c r="V11">
        <v>17</v>
      </c>
      <c r="W11">
        <v>7.88</v>
      </c>
      <c r="X11">
        <v>9.83</v>
      </c>
      <c r="Y11">
        <v>4.1399999999999997</v>
      </c>
      <c r="Z11">
        <v>4.16</v>
      </c>
      <c r="AA11">
        <v>0.42199999999999999</v>
      </c>
      <c r="AB11">
        <v>0.63700000000000001</v>
      </c>
      <c r="AC11">
        <v>0.878</v>
      </c>
      <c r="AD11">
        <v>1.1100000000000001</v>
      </c>
      <c r="AE11" s="2">
        <v>2.04</v>
      </c>
      <c r="AF11">
        <v>3.05</v>
      </c>
      <c r="AG11">
        <v>0.41</v>
      </c>
      <c r="AH11">
        <v>6.17</v>
      </c>
      <c r="AI11">
        <f t="shared" si="0"/>
        <v>7.6280424242424232</v>
      </c>
      <c r="AJ11">
        <f t="shared" si="1"/>
        <v>1.3199129519265478</v>
      </c>
    </row>
    <row r="12" spans="1:36" x14ac:dyDescent="0.25">
      <c r="A12" s="1">
        <v>45406.625</v>
      </c>
      <c r="B12">
        <v>11.1</v>
      </c>
      <c r="C12">
        <v>1.22</v>
      </c>
      <c r="D12">
        <v>3.79</v>
      </c>
      <c r="E12">
        <v>1.21</v>
      </c>
      <c r="F12">
        <v>6.83</v>
      </c>
      <c r="G12">
        <v>7.61</v>
      </c>
      <c r="H12">
        <v>10.9</v>
      </c>
      <c r="I12">
        <v>1.1299999999999999</v>
      </c>
      <c r="J12">
        <v>6.2100000000000002E-2</v>
      </c>
      <c r="K12">
        <v>15</v>
      </c>
      <c r="L12">
        <v>1.23</v>
      </c>
      <c r="M12">
        <v>1.45</v>
      </c>
      <c r="N12">
        <v>1.86</v>
      </c>
      <c r="O12">
        <v>0.73199999999999998</v>
      </c>
      <c r="P12">
        <v>8.2199999999999995E-2</v>
      </c>
      <c r="Q12">
        <v>2.04</v>
      </c>
      <c r="R12">
        <v>0.28399999999999997</v>
      </c>
      <c r="S12">
        <v>6.37</v>
      </c>
      <c r="T12">
        <v>5.29</v>
      </c>
      <c r="U12">
        <v>4.45</v>
      </c>
      <c r="V12">
        <v>3.14</v>
      </c>
      <c r="W12">
        <v>9.25</v>
      </c>
      <c r="X12">
        <v>10.9</v>
      </c>
      <c r="Y12">
        <v>1.1399999999999999</v>
      </c>
      <c r="Z12">
        <v>5.04</v>
      </c>
      <c r="AA12">
        <v>2.0499999999999998</v>
      </c>
      <c r="AB12">
        <v>4</v>
      </c>
      <c r="AC12">
        <v>0.81100000000000005</v>
      </c>
      <c r="AD12">
        <v>2.39</v>
      </c>
      <c r="AE12" s="2">
        <v>5.15</v>
      </c>
      <c r="AF12">
        <v>3.53</v>
      </c>
      <c r="AG12">
        <v>1.3</v>
      </c>
      <c r="AH12">
        <v>0.71799999999999997</v>
      </c>
      <c r="AI12">
        <f t="shared" si="0"/>
        <v>4.0017969696969704</v>
      </c>
      <c r="AJ12">
        <f t="shared" si="1"/>
        <v>0.66758109518285969</v>
      </c>
    </row>
    <row r="13" spans="1:36" x14ac:dyDescent="0.25">
      <c r="A13" s="1">
        <v>45406.666666666664</v>
      </c>
      <c r="B13">
        <v>6.61</v>
      </c>
      <c r="C13">
        <v>8.15</v>
      </c>
      <c r="D13">
        <v>2.42</v>
      </c>
      <c r="E13">
        <v>2.4400000000000002E-2</v>
      </c>
      <c r="F13">
        <v>3.33</v>
      </c>
      <c r="G13">
        <v>8.83</v>
      </c>
      <c r="H13">
        <v>18.7</v>
      </c>
      <c r="I13">
        <v>3.47</v>
      </c>
      <c r="J13">
        <v>7.74</v>
      </c>
      <c r="K13">
        <v>0.36199999999999999</v>
      </c>
      <c r="L13">
        <v>0.67300000000000004</v>
      </c>
      <c r="M13">
        <v>4.04</v>
      </c>
      <c r="N13">
        <v>27.4</v>
      </c>
      <c r="O13">
        <v>0.56399999999999995</v>
      </c>
      <c r="P13">
        <v>0.995</v>
      </c>
      <c r="Q13">
        <v>1.59</v>
      </c>
      <c r="R13">
        <v>7.08</v>
      </c>
      <c r="S13">
        <v>2.91</v>
      </c>
      <c r="T13">
        <v>1.05</v>
      </c>
      <c r="U13">
        <v>1.61</v>
      </c>
      <c r="V13">
        <v>5.55</v>
      </c>
      <c r="W13">
        <v>5.35</v>
      </c>
      <c r="X13">
        <v>13.3</v>
      </c>
      <c r="Y13">
        <v>8.4199999999999997E-2</v>
      </c>
      <c r="Z13">
        <v>1.82</v>
      </c>
      <c r="AA13">
        <v>0.52100000000000002</v>
      </c>
      <c r="AB13">
        <v>5.83</v>
      </c>
      <c r="AC13">
        <v>3.61</v>
      </c>
      <c r="AD13">
        <v>0.36399999999999999</v>
      </c>
      <c r="AE13" s="2">
        <v>2.74</v>
      </c>
      <c r="AF13">
        <v>5.48</v>
      </c>
      <c r="AG13">
        <v>0.318</v>
      </c>
      <c r="AH13">
        <v>2.12</v>
      </c>
      <c r="AI13">
        <f t="shared" si="0"/>
        <v>4.6859272727272741</v>
      </c>
      <c r="AJ13">
        <f t="shared" si="1"/>
        <v>1.0042714477390073</v>
      </c>
    </row>
    <row r="14" spans="1:36" x14ac:dyDescent="0.25">
      <c r="A14" s="1">
        <v>45406.708333333336</v>
      </c>
      <c r="B14">
        <v>17.8</v>
      </c>
      <c r="C14">
        <v>11.4</v>
      </c>
      <c r="D14">
        <v>32</v>
      </c>
      <c r="E14">
        <v>8.91</v>
      </c>
      <c r="F14">
        <v>4.2300000000000004</v>
      </c>
      <c r="G14">
        <v>12.7</v>
      </c>
      <c r="H14">
        <v>21.9</v>
      </c>
      <c r="I14">
        <v>2.8400000000000002E-2</v>
      </c>
      <c r="J14">
        <v>9.81</v>
      </c>
      <c r="K14">
        <v>24</v>
      </c>
      <c r="L14">
        <v>15</v>
      </c>
      <c r="M14">
        <v>14.7</v>
      </c>
      <c r="N14">
        <v>4.32</v>
      </c>
      <c r="O14">
        <v>2.4400000000000002E-2</v>
      </c>
      <c r="P14">
        <v>0.21</v>
      </c>
      <c r="Q14">
        <v>17.5</v>
      </c>
      <c r="R14">
        <v>16.5</v>
      </c>
      <c r="S14">
        <v>2.8</v>
      </c>
      <c r="T14">
        <v>16.8</v>
      </c>
      <c r="U14">
        <v>9.76</v>
      </c>
      <c r="V14">
        <v>12.5</v>
      </c>
      <c r="W14">
        <v>14.4</v>
      </c>
      <c r="X14">
        <v>14.4</v>
      </c>
      <c r="Y14">
        <v>4.9800000000000004</v>
      </c>
      <c r="Z14">
        <v>22.6</v>
      </c>
      <c r="AA14">
        <v>16</v>
      </c>
      <c r="AB14">
        <v>15.7</v>
      </c>
      <c r="AC14">
        <v>12.2</v>
      </c>
      <c r="AD14">
        <v>19</v>
      </c>
      <c r="AE14" s="2">
        <v>13.3</v>
      </c>
      <c r="AF14">
        <v>2.15</v>
      </c>
      <c r="AG14">
        <v>1.86</v>
      </c>
      <c r="AH14">
        <v>2.37</v>
      </c>
      <c r="AI14">
        <f t="shared" si="0"/>
        <v>11.874327272727273</v>
      </c>
      <c r="AJ14">
        <f t="shared" si="1"/>
        <v>1.3628296140033094</v>
      </c>
    </row>
    <row r="15" spans="1:36" x14ac:dyDescent="0.25">
      <c r="A15" s="1">
        <v>45406.75</v>
      </c>
      <c r="B15">
        <v>9.35</v>
      </c>
      <c r="C15">
        <v>5.84</v>
      </c>
      <c r="D15">
        <v>1.78</v>
      </c>
      <c r="E15">
        <v>12.9</v>
      </c>
      <c r="F15">
        <v>2.4400000000000002E-2</v>
      </c>
      <c r="G15">
        <v>5.21</v>
      </c>
      <c r="H15">
        <v>3.67</v>
      </c>
      <c r="I15">
        <v>9.18</v>
      </c>
      <c r="J15">
        <v>0.41299999999999998</v>
      </c>
      <c r="K15">
        <v>2.38</v>
      </c>
      <c r="L15">
        <v>0.41299999999999998</v>
      </c>
      <c r="M15">
        <v>1.55</v>
      </c>
      <c r="N15">
        <v>0.89500000000000002</v>
      </c>
      <c r="O15">
        <v>16.2</v>
      </c>
      <c r="P15">
        <v>14.9</v>
      </c>
      <c r="Q15">
        <v>5.36</v>
      </c>
      <c r="R15">
        <v>0.74199999999999999</v>
      </c>
      <c r="S15">
        <v>2.62</v>
      </c>
      <c r="T15">
        <v>4.16</v>
      </c>
      <c r="U15">
        <v>1.39</v>
      </c>
      <c r="V15">
        <v>4.72</v>
      </c>
      <c r="W15">
        <v>1.54</v>
      </c>
      <c r="X15">
        <v>0.31</v>
      </c>
      <c r="Y15">
        <v>0.33500000000000002</v>
      </c>
      <c r="Z15">
        <v>11.1</v>
      </c>
      <c r="AA15">
        <v>0.249</v>
      </c>
      <c r="AB15">
        <v>6.02</v>
      </c>
      <c r="AC15">
        <v>0.87</v>
      </c>
      <c r="AD15">
        <v>2.4400000000000002E-2</v>
      </c>
      <c r="AE15" s="2">
        <v>2.12</v>
      </c>
      <c r="AF15">
        <v>11.7</v>
      </c>
      <c r="AG15">
        <v>6.18</v>
      </c>
      <c r="AH15">
        <v>8.4</v>
      </c>
      <c r="AI15">
        <f t="shared" si="0"/>
        <v>4.6226000000000003</v>
      </c>
      <c r="AJ15">
        <f t="shared" si="1"/>
        <v>0.81134278233958856</v>
      </c>
    </row>
    <row r="16" spans="1:36" x14ac:dyDescent="0.25">
      <c r="A16" s="1">
        <v>45406.791666666664</v>
      </c>
      <c r="B16">
        <v>29.3</v>
      </c>
      <c r="C16">
        <v>15.1</v>
      </c>
      <c r="D16">
        <v>11.5</v>
      </c>
      <c r="E16">
        <v>0.73399999999999999</v>
      </c>
      <c r="F16">
        <v>1.63</v>
      </c>
      <c r="G16">
        <v>4.38</v>
      </c>
      <c r="H16">
        <v>1.67</v>
      </c>
      <c r="I16">
        <v>0.68400000000000005</v>
      </c>
      <c r="J16">
        <v>17.600000000000001</v>
      </c>
      <c r="K16">
        <v>1.4</v>
      </c>
      <c r="L16">
        <v>8.99</v>
      </c>
      <c r="M16">
        <v>2.85</v>
      </c>
      <c r="N16">
        <v>0.26800000000000002</v>
      </c>
      <c r="O16">
        <v>0.23200000000000001</v>
      </c>
      <c r="P16">
        <v>3.49</v>
      </c>
      <c r="Q16">
        <v>17.5</v>
      </c>
      <c r="R16">
        <v>8.69</v>
      </c>
      <c r="S16">
        <v>1.31</v>
      </c>
      <c r="T16">
        <v>10.1</v>
      </c>
      <c r="U16">
        <v>19.8</v>
      </c>
      <c r="V16">
        <v>12</v>
      </c>
      <c r="W16">
        <v>24.9</v>
      </c>
      <c r="X16">
        <v>4.43</v>
      </c>
      <c r="Y16">
        <v>0.14799999999999999</v>
      </c>
      <c r="Z16">
        <v>3.69</v>
      </c>
      <c r="AA16">
        <v>1.54</v>
      </c>
      <c r="AB16">
        <v>9.2899999999999991</v>
      </c>
      <c r="AC16">
        <v>8.4499999999999993</v>
      </c>
      <c r="AD16">
        <v>0.34699999999999998</v>
      </c>
      <c r="AE16" s="2">
        <v>2.88</v>
      </c>
      <c r="AF16">
        <v>6.05</v>
      </c>
      <c r="AG16">
        <v>2.93</v>
      </c>
      <c r="AH16">
        <v>3.83</v>
      </c>
      <c r="AI16">
        <f t="shared" si="0"/>
        <v>7.2034242424242434</v>
      </c>
      <c r="AJ16">
        <f t="shared" si="1"/>
        <v>1.3229336324588341</v>
      </c>
    </row>
    <row r="17" spans="1:36" x14ac:dyDescent="0.25">
      <c r="A17" s="1">
        <v>45406.833333333336</v>
      </c>
      <c r="B17">
        <v>58.2</v>
      </c>
      <c r="C17">
        <v>10.7</v>
      </c>
      <c r="D17">
        <v>20.6</v>
      </c>
      <c r="E17">
        <v>2.02</v>
      </c>
      <c r="F17">
        <v>10</v>
      </c>
      <c r="G17">
        <v>3.49</v>
      </c>
      <c r="H17">
        <v>7.51</v>
      </c>
      <c r="I17">
        <v>0.51700000000000002</v>
      </c>
      <c r="J17">
        <v>0.93700000000000006</v>
      </c>
      <c r="K17">
        <v>3.5</v>
      </c>
      <c r="L17">
        <v>24</v>
      </c>
      <c r="M17">
        <v>4.05</v>
      </c>
      <c r="N17">
        <v>10.199999999999999</v>
      </c>
      <c r="O17">
        <v>0.155</v>
      </c>
      <c r="P17">
        <v>0.26400000000000001</v>
      </c>
      <c r="Q17">
        <v>14.8</v>
      </c>
      <c r="R17">
        <v>4.3</v>
      </c>
      <c r="S17">
        <v>0.48199999999999998</v>
      </c>
      <c r="T17">
        <v>7.58</v>
      </c>
      <c r="U17">
        <v>4.28</v>
      </c>
      <c r="V17">
        <v>12.6</v>
      </c>
      <c r="W17">
        <v>14.3</v>
      </c>
      <c r="X17">
        <v>2.4400000000000002E-2</v>
      </c>
      <c r="Y17">
        <v>3.13</v>
      </c>
      <c r="Z17">
        <v>6.24</v>
      </c>
      <c r="AA17">
        <v>7.97</v>
      </c>
      <c r="AB17">
        <v>7.25</v>
      </c>
      <c r="AC17">
        <v>21.7</v>
      </c>
      <c r="AD17">
        <v>3.36</v>
      </c>
      <c r="AE17" s="2">
        <v>13.1</v>
      </c>
      <c r="AF17">
        <v>5.95</v>
      </c>
      <c r="AG17">
        <v>18.600000000000001</v>
      </c>
      <c r="AH17">
        <v>7.89</v>
      </c>
      <c r="AI17">
        <f t="shared" si="0"/>
        <v>9.3848303030303057</v>
      </c>
      <c r="AJ17">
        <f t="shared" si="1"/>
        <v>1.9072269812383966</v>
      </c>
    </row>
    <row r="18" spans="1:36" x14ac:dyDescent="0.25">
      <c r="A18" s="1">
        <v>45406.875</v>
      </c>
      <c r="B18">
        <v>44.3</v>
      </c>
      <c r="C18">
        <v>19</v>
      </c>
      <c r="D18">
        <v>2.66</v>
      </c>
      <c r="E18">
        <v>15.2</v>
      </c>
      <c r="F18">
        <v>8.02</v>
      </c>
      <c r="G18">
        <v>23.7</v>
      </c>
      <c r="H18">
        <v>13.8</v>
      </c>
      <c r="I18">
        <v>13.1</v>
      </c>
      <c r="J18">
        <v>0.13500000000000001</v>
      </c>
      <c r="K18">
        <v>0.54200000000000004</v>
      </c>
      <c r="L18">
        <v>33.799999999999997</v>
      </c>
      <c r="M18">
        <v>15.8</v>
      </c>
      <c r="N18">
        <v>4.07</v>
      </c>
      <c r="O18">
        <v>13.7</v>
      </c>
      <c r="P18">
        <v>8.66</v>
      </c>
      <c r="Q18">
        <v>37.799999999999997</v>
      </c>
      <c r="R18">
        <v>3.66</v>
      </c>
      <c r="S18">
        <v>11.4</v>
      </c>
      <c r="T18">
        <v>3.76</v>
      </c>
      <c r="U18">
        <v>15.6</v>
      </c>
      <c r="V18">
        <v>15.8</v>
      </c>
      <c r="W18">
        <v>1.43</v>
      </c>
      <c r="X18">
        <v>0.252</v>
      </c>
      <c r="Y18">
        <v>13.3</v>
      </c>
      <c r="Z18">
        <v>2.94</v>
      </c>
      <c r="AA18">
        <v>30.4</v>
      </c>
      <c r="AB18">
        <v>14.5</v>
      </c>
      <c r="AC18">
        <v>30.9</v>
      </c>
      <c r="AD18">
        <v>12.3</v>
      </c>
      <c r="AE18" s="2">
        <v>33.4</v>
      </c>
      <c r="AF18">
        <v>4.71</v>
      </c>
      <c r="AG18">
        <v>20.3</v>
      </c>
      <c r="AH18">
        <v>22.3</v>
      </c>
      <c r="AI18">
        <f t="shared" si="0"/>
        <v>14.886030303030303</v>
      </c>
      <c r="AJ18">
        <f t="shared" si="1"/>
        <v>2.0558764519704877</v>
      </c>
    </row>
    <row r="19" spans="1:36" x14ac:dyDescent="0.25">
      <c r="A19" s="1">
        <v>45406.916666666664</v>
      </c>
      <c r="B19">
        <v>20.6</v>
      </c>
      <c r="C19">
        <v>27</v>
      </c>
      <c r="D19">
        <v>9.66</v>
      </c>
      <c r="E19">
        <v>7.4</v>
      </c>
      <c r="F19">
        <v>15.6</v>
      </c>
      <c r="G19">
        <v>14.2</v>
      </c>
      <c r="H19">
        <v>2.79</v>
      </c>
      <c r="I19">
        <v>17.2</v>
      </c>
      <c r="J19">
        <v>0.877</v>
      </c>
      <c r="K19">
        <v>11.7</v>
      </c>
      <c r="L19">
        <v>0.629</v>
      </c>
      <c r="M19">
        <v>9.94</v>
      </c>
      <c r="N19">
        <v>40.6</v>
      </c>
      <c r="O19">
        <v>12.4</v>
      </c>
      <c r="P19">
        <v>19.7</v>
      </c>
      <c r="Q19">
        <v>9.73</v>
      </c>
      <c r="R19">
        <v>45.6</v>
      </c>
      <c r="S19">
        <v>20.8</v>
      </c>
      <c r="T19">
        <v>20</v>
      </c>
      <c r="U19">
        <v>20.100000000000001</v>
      </c>
      <c r="V19">
        <v>18.5</v>
      </c>
      <c r="W19">
        <v>4.3</v>
      </c>
      <c r="X19">
        <v>9.7899999999999991</v>
      </c>
      <c r="Y19">
        <v>20.6</v>
      </c>
      <c r="Z19">
        <v>3.52</v>
      </c>
      <c r="AA19">
        <v>5.92</v>
      </c>
      <c r="AB19">
        <v>27.6</v>
      </c>
      <c r="AC19">
        <v>17.2</v>
      </c>
      <c r="AD19">
        <v>2.4400000000000002E-2</v>
      </c>
      <c r="AE19" s="2">
        <v>4.25</v>
      </c>
      <c r="AF19">
        <v>2.71</v>
      </c>
      <c r="AG19">
        <v>0.23699999999999999</v>
      </c>
      <c r="AH19">
        <v>9.33</v>
      </c>
      <c r="AI19">
        <f t="shared" si="0"/>
        <v>13.651739393939398</v>
      </c>
      <c r="AJ19">
        <f t="shared" si="1"/>
        <v>1.9059552093270631</v>
      </c>
    </row>
    <row r="20" spans="1:36" x14ac:dyDescent="0.25">
      <c r="A20" s="1">
        <v>45406.958333333336</v>
      </c>
      <c r="B20">
        <v>4.84</v>
      </c>
      <c r="C20">
        <v>5.18</v>
      </c>
      <c r="D20">
        <v>12.6</v>
      </c>
      <c r="E20">
        <v>29</v>
      </c>
      <c r="F20">
        <v>17</v>
      </c>
      <c r="G20">
        <v>10.1</v>
      </c>
      <c r="H20">
        <v>25.2</v>
      </c>
      <c r="I20">
        <v>24.4</v>
      </c>
      <c r="J20">
        <v>7.58</v>
      </c>
      <c r="K20">
        <v>12.9</v>
      </c>
      <c r="L20">
        <v>19.899999999999999</v>
      </c>
      <c r="M20">
        <v>13</v>
      </c>
      <c r="N20">
        <v>17.7</v>
      </c>
      <c r="O20">
        <v>17.5</v>
      </c>
      <c r="P20">
        <v>18.2</v>
      </c>
      <c r="Q20">
        <v>39.1</v>
      </c>
      <c r="R20">
        <v>43.3</v>
      </c>
      <c r="S20">
        <v>16.5</v>
      </c>
      <c r="T20">
        <v>26.1</v>
      </c>
      <c r="U20">
        <v>16.8</v>
      </c>
      <c r="V20">
        <v>8.44</v>
      </c>
      <c r="W20">
        <v>12.6</v>
      </c>
      <c r="X20">
        <v>8.4500000000000006E-2</v>
      </c>
      <c r="Y20">
        <v>3.4</v>
      </c>
      <c r="Z20">
        <v>17.5</v>
      </c>
      <c r="AA20">
        <v>47.5</v>
      </c>
      <c r="AB20">
        <v>16.899999999999999</v>
      </c>
      <c r="AC20">
        <v>12.8</v>
      </c>
      <c r="AD20">
        <v>1.51</v>
      </c>
      <c r="AE20" s="2">
        <v>1.26</v>
      </c>
      <c r="AF20">
        <v>6.63</v>
      </c>
      <c r="AG20">
        <v>10.7</v>
      </c>
      <c r="AH20">
        <v>15.2</v>
      </c>
      <c r="AI20">
        <f t="shared" si="0"/>
        <v>16.10377272727273</v>
      </c>
      <c r="AJ20">
        <f t="shared" si="1"/>
        <v>1.9798727697073486</v>
      </c>
    </row>
    <row r="21" spans="1:36" x14ac:dyDescent="0.25">
      <c r="A21" s="1">
        <v>45407</v>
      </c>
      <c r="B21">
        <v>14.3</v>
      </c>
      <c r="C21">
        <v>4.96</v>
      </c>
      <c r="D21">
        <v>2.74</v>
      </c>
      <c r="E21">
        <v>28.3</v>
      </c>
      <c r="F21">
        <v>2.4400000000000002E-2</v>
      </c>
      <c r="G21">
        <v>23.4</v>
      </c>
      <c r="H21">
        <v>11.2</v>
      </c>
      <c r="I21">
        <v>3.9300000000000002E-2</v>
      </c>
      <c r="J21">
        <v>18.8</v>
      </c>
      <c r="K21">
        <v>30.2</v>
      </c>
      <c r="L21">
        <v>10.4</v>
      </c>
      <c r="M21">
        <v>11.1</v>
      </c>
      <c r="N21">
        <v>21.9</v>
      </c>
      <c r="O21">
        <v>13</v>
      </c>
      <c r="P21">
        <v>0.106</v>
      </c>
      <c r="Q21">
        <v>5.72</v>
      </c>
      <c r="R21">
        <v>4.99</v>
      </c>
      <c r="S21">
        <v>1.5</v>
      </c>
      <c r="T21">
        <v>26.1</v>
      </c>
      <c r="U21">
        <v>28.9</v>
      </c>
      <c r="V21">
        <v>10.1</v>
      </c>
      <c r="W21">
        <v>32.700000000000003</v>
      </c>
      <c r="X21">
        <v>11</v>
      </c>
      <c r="Y21">
        <v>22.7</v>
      </c>
      <c r="Z21">
        <v>11</v>
      </c>
      <c r="AA21">
        <v>25.2</v>
      </c>
      <c r="AB21">
        <v>6.54</v>
      </c>
      <c r="AC21">
        <v>7.79</v>
      </c>
      <c r="AD21">
        <v>18.399999999999999</v>
      </c>
      <c r="AE21" s="2">
        <v>24.8</v>
      </c>
      <c r="AF21">
        <v>29.2</v>
      </c>
      <c r="AG21">
        <v>12.2</v>
      </c>
      <c r="AH21">
        <v>5.25</v>
      </c>
      <c r="AI21">
        <f t="shared" si="0"/>
        <v>14.380596969696969</v>
      </c>
      <c r="AJ21">
        <f t="shared" si="1"/>
        <v>1.7563541277472032</v>
      </c>
    </row>
    <row r="22" spans="1:36" x14ac:dyDescent="0.25">
      <c r="A22" s="1">
        <v>45407.041666666664</v>
      </c>
      <c r="B22">
        <v>14.3</v>
      </c>
      <c r="C22">
        <v>24.4</v>
      </c>
      <c r="D22">
        <v>28.8</v>
      </c>
      <c r="E22">
        <v>29.6</v>
      </c>
      <c r="F22">
        <v>1.43</v>
      </c>
      <c r="G22">
        <v>2.4400000000000002E-2</v>
      </c>
      <c r="H22">
        <v>2.4700000000000002</v>
      </c>
      <c r="I22">
        <v>18.399999999999999</v>
      </c>
      <c r="J22">
        <v>22.7</v>
      </c>
      <c r="K22">
        <v>22.3</v>
      </c>
      <c r="L22">
        <v>21.5</v>
      </c>
      <c r="M22">
        <v>26.4</v>
      </c>
      <c r="N22">
        <v>1.28</v>
      </c>
      <c r="O22">
        <v>8.6300000000000008</v>
      </c>
      <c r="P22">
        <v>26.7</v>
      </c>
      <c r="Q22">
        <v>3.37</v>
      </c>
      <c r="R22">
        <v>2.4400000000000002E-2</v>
      </c>
      <c r="S22">
        <v>26.4</v>
      </c>
      <c r="T22">
        <v>2.99</v>
      </c>
      <c r="U22">
        <v>1.51</v>
      </c>
      <c r="V22">
        <v>8.68</v>
      </c>
      <c r="W22">
        <v>6.11</v>
      </c>
      <c r="X22">
        <v>9.75</v>
      </c>
      <c r="Y22">
        <v>13.2</v>
      </c>
      <c r="Z22">
        <v>29.1</v>
      </c>
      <c r="AA22">
        <v>15.8</v>
      </c>
      <c r="AB22">
        <v>15.1</v>
      </c>
      <c r="AC22">
        <v>39.799999999999997</v>
      </c>
      <c r="AD22">
        <v>12.8</v>
      </c>
      <c r="AE22" s="2">
        <v>0.122</v>
      </c>
      <c r="AF22">
        <v>17.8</v>
      </c>
      <c r="AG22">
        <v>4.45</v>
      </c>
      <c r="AH22">
        <v>4.7300000000000004</v>
      </c>
      <c r="AI22">
        <f t="shared" si="0"/>
        <v>13.959721212121215</v>
      </c>
      <c r="AJ22">
        <f t="shared" si="1"/>
        <v>1.9254576237229897</v>
      </c>
    </row>
    <row r="23" spans="1:36" x14ac:dyDescent="0.25">
      <c r="A23" s="1">
        <v>45407.083333333336</v>
      </c>
      <c r="B23">
        <v>8.08</v>
      </c>
      <c r="C23">
        <v>16.899999999999999</v>
      </c>
      <c r="D23">
        <v>7.91</v>
      </c>
      <c r="E23">
        <v>6.84</v>
      </c>
      <c r="F23">
        <v>25.8</v>
      </c>
      <c r="G23">
        <v>31.1</v>
      </c>
      <c r="H23">
        <v>9</v>
      </c>
      <c r="I23">
        <v>8.66</v>
      </c>
      <c r="J23">
        <v>4.8600000000000003</v>
      </c>
      <c r="K23">
        <v>3.32</v>
      </c>
      <c r="L23">
        <v>14.2</v>
      </c>
      <c r="M23">
        <v>1.45</v>
      </c>
      <c r="N23">
        <v>9.58</v>
      </c>
      <c r="O23">
        <v>3.52</v>
      </c>
      <c r="P23">
        <v>20.9</v>
      </c>
      <c r="Q23">
        <v>45.5</v>
      </c>
      <c r="R23">
        <v>35.9</v>
      </c>
      <c r="S23">
        <v>2.2400000000000002</v>
      </c>
      <c r="T23">
        <v>31.8</v>
      </c>
      <c r="U23">
        <v>14</v>
      </c>
      <c r="V23">
        <v>18.3</v>
      </c>
      <c r="W23">
        <v>23.2</v>
      </c>
      <c r="X23">
        <v>25.5</v>
      </c>
      <c r="Y23">
        <v>1.94</v>
      </c>
      <c r="Z23">
        <v>28.6</v>
      </c>
      <c r="AA23">
        <v>2.4400000000000002E-2</v>
      </c>
      <c r="AB23">
        <v>3.85</v>
      </c>
      <c r="AC23">
        <v>41.4</v>
      </c>
      <c r="AD23">
        <v>22.5</v>
      </c>
      <c r="AE23" s="2">
        <v>1.07</v>
      </c>
      <c r="AF23">
        <v>32.9</v>
      </c>
      <c r="AG23">
        <v>4.0599999999999996</v>
      </c>
      <c r="AH23">
        <v>22.4</v>
      </c>
      <c r="AI23">
        <f t="shared" si="0"/>
        <v>15.978921212121211</v>
      </c>
      <c r="AJ23">
        <f t="shared" si="1"/>
        <v>2.2520937928208213</v>
      </c>
    </row>
    <row r="24" spans="1:36" x14ac:dyDescent="0.25">
      <c r="A24" s="1">
        <v>45407.125</v>
      </c>
      <c r="B24">
        <v>33</v>
      </c>
      <c r="C24">
        <v>5.78</v>
      </c>
      <c r="D24">
        <v>8.67</v>
      </c>
      <c r="E24">
        <v>0.31</v>
      </c>
      <c r="F24">
        <v>7.69</v>
      </c>
      <c r="G24">
        <v>2.4400000000000002E-2</v>
      </c>
      <c r="H24">
        <v>37</v>
      </c>
      <c r="I24">
        <v>0.72799999999999998</v>
      </c>
      <c r="J24">
        <v>14.1</v>
      </c>
      <c r="K24">
        <v>27.5</v>
      </c>
      <c r="L24">
        <v>12.9</v>
      </c>
      <c r="M24">
        <v>10.199999999999999</v>
      </c>
      <c r="N24">
        <v>35.799999999999997</v>
      </c>
      <c r="O24">
        <v>0.747</v>
      </c>
      <c r="P24">
        <v>3.27E-2</v>
      </c>
      <c r="Q24">
        <v>33.700000000000003</v>
      </c>
      <c r="R24">
        <v>26.5</v>
      </c>
      <c r="S24">
        <v>3.96</v>
      </c>
      <c r="T24">
        <v>28.5</v>
      </c>
      <c r="U24">
        <v>13.5</v>
      </c>
      <c r="V24">
        <v>3.19</v>
      </c>
      <c r="W24">
        <v>4.17</v>
      </c>
      <c r="X24">
        <v>0.27900000000000003</v>
      </c>
      <c r="Y24">
        <v>9.39</v>
      </c>
      <c r="Z24">
        <v>18.100000000000001</v>
      </c>
      <c r="AA24">
        <v>2.33</v>
      </c>
      <c r="AB24">
        <v>9.09</v>
      </c>
      <c r="AC24">
        <v>27.9</v>
      </c>
      <c r="AD24">
        <v>39.6</v>
      </c>
      <c r="AE24" s="2">
        <v>1.36</v>
      </c>
      <c r="AF24">
        <v>1.68</v>
      </c>
      <c r="AG24">
        <v>14.9</v>
      </c>
      <c r="AH24">
        <v>7.09</v>
      </c>
      <c r="AI24">
        <f t="shared" si="0"/>
        <v>13.324881818181815</v>
      </c>
      <c r="AJ24">
        <f t="shared" si="1"/>
        <v>2.2356319669940601</v>
      </c>
    </row>
    <row r="25" spans="1:36" x14ac:dyDescent="0.25">
      <c r="A25" s="1">
        <v>45407.166666666664</v>
      </c>
      <c r="B25">
        <v>0.79400000000000004</v>
      </c>
      <c r="C25">
        <v>2.76</v>
      </c>
      <c r="D25">
        <v>17.5</v>
      </c>
      <c r="E25">
        <v>0.35899999999999999</v>
      </c>
      <c r="F25">
        <v>2.4400000000000002E-2</v>
      </c>
      <c r="G25">
        <v>27</v>
      </c>
      <c r="H25">
        <v>11.8</v>
      </c>
      <c r="I25">
        <v>7.23</v>
      </c>
      <c r="J25">
        <v>15.9</v>
      </c>
      <c r="K25">
        <v>16.3</v>
      </c>
      <c r="L25">
        <v>5.95</v>
      </c>
      <c r="M25">
        <v>2.81</v>
      </c>
      <c r="N25">
        <v>0.113</v>
      </c>
      <c r="O25">
        <v>0.38900000000000001</v>
      </c>
      <c r="P25">
        <v>22.2</v>
      </c>
      <c r="Q25">
        <v>3.33</v>
      </c>
      <c r="R25">
        <v>5.45E-2</v>
      </c>
      <c r="S25">
        <v>8.51</v>
      </c>
      <c r="T25">
        <v>0.64800000000000002</v>
      </c>
      <c r="U25">
        <v>11.6</v>
      </c>
      <c r="V25">
        <v>13.9</v>
      </c>
      <c r="W25">
        <v>26.8</v>
      </c>
      <c r="X25">
        <v>4.7899999999999998E-2</v>
      </c>
      <c r="Y25">
        <v>17.600000000000001</v>
      </c>
      <c r="Z25">
        <v>13</v>
      </c>
      <c r="AA25">
        <v>56.8</v>
      </c>
      <c r="AB25">
        <v>8.7899999999999991</v>
      </c>
      <c r="AC25">
        <v>4.3099999999999996</v>
      </c>
      <c r="AD25">
        <v>29.5</v>
      </c>
      <c r="AE25" s="2">
        <v>13.8</v>
      </c>
      <c r="AF25">
        <v>15.3</v>
      </c>
      <c r="AG25">
        <v>15.3</v>
      </c>
      <c r="AH25">
        <v>7.55</v>
      </c>
      <c r="AI25">
        <f t="shared" si="0"/>
        <v>11.453630303030305</v>
      </c>
      <c r="AJ25">
        <f t="shared" si="1"/>
        <v>2.0591337580247702</v>
      </c>
    </row>
    <row r="26" spans="1:36" x14ac:dyDescent="0.25">
      <c r="A26" s="1">
        <v>45407.208333333336</v>
      </c>
      <c r="B26">
        <v>4.59</v>
      </c>
      <c r="C26">
        <v>27</v>
      </c>
      <c r="D26">
        <v>22.3</v>
      </c>
      <c r="E26">
        <v>12.7</v>
      </c>
      <c r="F26">
        <v>1.66</v>
      </c>
      <c r="G26">
        <v>16.100000000000001</v>
      </c>
      <c r="H26">
        <v>1.68</v>
      </c>
      <c r="I26">
        <v>42.7</v>
      </c>
      <c r="J26">
        <v>13.9</v>
      </c>
      <c r="K26">
        <v>10.5</v>
      </c>
      <c r="L26">
        <v>25.9</v>
      </c>
      <c r="M26">
        <v>12.6</v>
      </c>
      <c r="N26">
        <v>30.6</v>
      </c>
      <c r="O26">
        <v>0.88900000000000001</v>
      </c>
      <c r="P26">
        <v>12.3</v>
      </c>
      <c r="Q26">
        <v>7.26</v>
      </c>
      <c r="R26">
        <v>27.3</v>
      </c>
      <c r="S26">
        <v>9.99</v>
      </c>
      <c r="T26">
        <v>2.14</v>
      </c>
      <c r="U26">
        <v>10.9</v>
      </c>
      <c r="V26">
        <v>11.8</v>
      </c>
      <c r="W26">
        <v>37.1</v>
      </c>
      <c r="X26">
        <v>2.4400000000000002E-2</v>
      </c>
      <c r="Y26">
        <v>1.3</v>
      </c>
      <c r="Z26">
        <v>22.9</v>
      </c>
      <c r="AA26">
        <v>21.3</v>
      </c>
      <c r="AB26">
        <v>11.4</v>
      </c>
      <c r="AC26">
        <v>24.2</v>
      </c>
      <c r="AD26">
        <v>11.8</v>
      </c>
      <c r="AE26" s="2">
        <v>3.86</v>
      </c>
      <c r="AF26">
        <v>13.1</v>
      </c>
      <c r="AG26">
        <v>30.4</v>
      </c>
      <c r="AH26">
        <v>18</v>
      </c>
      <c r="AI26">
        <f t="shared" si="0"/>
        <v>15.157375757575759</v>
      </c>
      <c r="AJ26">
        <f t="shared" si="1"/>
        <v>1.932260658152062</v>
      </c>
    </row>
    <row r="27" spans="1:36" x14ac:dyDescent="0.25">
      <c r="A27" s="1">
        <v>45407.25</v>
      </c>
      <c r="B27">
        <v>15.8</v>
      </c>
      <c r="C27">
        <v>5.19</v>
      </c>
      <c r="D27">
        <v>11.8</v>
      </c>
      <c r="E27">
        <v>6.4000000000000001E-2</v>
      </c>
      <c r="F27">
        <v>0.40500000000000003</v>
      </c>
      <c r="G27">
        <v>2.13</v>
      </c>
      <c r="H27">
        <v>2.96</v>
      </c>
      <c r="I27">
        <v>1.17</v>
      </c>
      <c r="J27">
        <v>7.99</v>
      </c>
      <c r="K27">
        <v>6.78</v>
      </c>
      <c r="L27">
        <v>31.6</v>
      </c>
      <c r="M27">
        <v>4.6100000000000003</v>
      </c>
      <c r="N27">
        <v>31.6</v>
      </c>
      <c r="O27">
        <v>27.4</v>
      </c>
      <c r="P27">
        <v>2.4400000000000002E-2</v>
      </c>
      <c r="Q27">
        <v>11.4</v>
      </c>
      <c r="R27">
        <v>2.4900000000000002</v>
      </c>
      <c r="S27">
        <v>4.03</v>
      </c>
      <c r="T27">
        <v>3.41</v>
      </c>
      <c r="U27">
        <v>0.31900000000000001</v>
      </c>
      <c r="V27">
        <v>4.74</v>
      </c>
      <c r="W27">
        <v>4.03</v>
      </c>
      <c r="X27">
        <v>2.4400000000000002E-2</v>
      </c>
      <c r="Y27">
        <v>13.3</v>
      </c>
      <c r="Z27">
        <v>22</v>
      </c>
      <c r="AA27">
        <v>29.8</v>
      </c>
      <c r="AB27">
        <v>16.899999999999999</v>
      </c>
      <c r="AC27">
        <v>54.9</v>
      </c>
      <c r="AD27">
        <v>11.9</v>
      </c>
      <c r="AE27" s="2">
        <v>24.6</v>
      </c>
      <c r="AF27">
        <v>26.8</v>
      </c>
      <c r="AG27">
        <v>4.6100000000000003</v>
      </c>
      <c r="AH27">
        <v>15.5</v>
      </c>
      <c r="AI27">
        <f t="shared" si="0"/>
        <v>12.129600000000003</v>
      </c>
      <c r="AJ27">
        <f t="shared" si="1"/>
        <v>2.2259440879777341</v>
      </c>
    </row>
    <row r="29" spans="1:3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1</v>
      </c>
      <c r="H29" t="s">
        <v>2</v>
      </c>
      <c r="I29" t="s">
        <v>3</v>
      </c>
      <c r="J29" t="s">
        <v>4</v>
      </c>
      <c r="K29" t="s">
        <v>5</v>
      </c>
      <c r="L29" t="s">
        <v>1</v>
      </c>
      <c r="M29" t="s">
        <v>2</v>
      </c>
      <c r="N29" t="s">
        <v>3</v>
      </c>
      <c r="O29" t="s">
        <v>4</v>
      </c>
      <c r="P29" t="s">
        <v>5</v>
      </c>
      <c r="Q29" t="s">
        <v>14</v>
      </c>
      <c r="R29">
        <v>536</v>
      </c>
      <c r="S29" t="s">
        <v>15</v>
      </c>
      <c r="T29" t="s">
        <v>16</v>
      </c>
      <c r="U29" t="s">
        <v>17</v>
      </c>
      <c r="V29" t="s">
        <v>18</v>
      </c>
      <c r="W29" t="s">
        <v>14</v>
      </c>
      <c r="X29">
        <v>536</v>
      </c>
      <c r="Y29" t="s">
        <v>15</v>
      </c>
      <c r="Z29" t="s">
        <v>16</v>
      </c>
      <c r="AA29" t="s">
        <v>17</v>
      </c>
      <c r="AB29" t="s">
        <v>18</v>
      </c>
      <c r="AC29" t="s">
        <v>14</v>
      </c>
      <c r="AD29">
        <v>536</v>
      </c>
      <c r="AE29" t="s">
        <v>15</v>
      </c>
      <c r="AF29" t="s">
        <v>16</v>
      </c>
      <c r="AG29" t="s">
        <v>17</v>
      </c>
      <c r="AH29" t="s">
        <v>18</v>
      </c>
    </row>
    <row r="30" spans="1:36" x14ac:dyDescent="0.25">
      <c r="B30" t="s">
        <v>6</v>
      </c>
      <c r="C30" t="s">
        <v>7</v>
      </c>
      <c r="D30" t="s">
        <v>8</v>
      </c>
      <c r="E30" t="s">
        <v>9</v>
      </c>
      <c r="F30" t="s">
        <v>10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6</v>
      </c>
      <c r="M30" t="s">
        <v>7</v>
      </c>
      <c r="N30" t="s">
        <v>8</v>
      </c>
      <c r="O30" t="s">
        <v>9</v>
      </c>
      <c r="P30" t="s">
        <v>10</v>
      </c>
      <c r="Q30" t="s">
        <v>19</v>
      </c>
      <c r="R30" t="s">
        <v>20</v>
      </c>
      <c r="S30" t="s">
        <v>21</v>
      </c>
      <c r="T30" t="s">
        <v>22</v>
      </c>
      <c r="U30" t="s">
        <v>23</v>
      </c>
      <c r="V30" t="s">
        <v>24</v>
      </c>
      <c r="W30" t="s">
        <v>19</v>
      </c>
      <c r="X30" t="s">
        <v>20</v>
      </c>
      <c r="Y30" t="s">
        <v>21</v>
      </c>
      <c r="Z30" t="s">
        <v>22</v>
      </c>
      <c r="AA30" t="s">
        <v>23</v>
      </c>
      <c r="AB30" t="s">
        <v>24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24</v>
      </c>
    </row>
    <row r="31" spans="1:36" x14ac:dyDescent="0.25">
      <c r="A31" t="s">
        <v>27</v>
      </c>
      <c r="B31" t="s">
        <v>11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  <c r="Z31" t="s">
        <v>25</v>
      </c>
      <c r="AA31" t="s">
        <v>25</v>
      </c>
      <c r="AB31" t="s">
        <v>25</v>
      </c>
      <c r="AC31" t="s">
        <v>25</v>
      </c>
      <c r="AD31" t="s">
        <v>25</v>
      </c>
      <c r="AE31" t="s">
        <v>25</v>
      </c>
      <c r="AF31" t="s">
        <v>25</v>
      </c>
      <c r="AG31" t="s">
        <v>25</v>
      </c>
      <c r="AH31" t="s">
        <v>25</v>
      </c>
    </row>
    <row r="32" spans="1:36" x14ac:dyDescent="0.25">
      <c r="A32" s="1">
        <v>45406.291666666664</v>
      </c>
      <c r="B32">
        <v>20.2</v>
      </c>
      <c r="C32">
        <v>13.9</v>
      </c>
      <c r="D32">
        <v>15.6</v>
      </c>
      <c r="E32">
        <v>2.4400000000000002E-2</v>
      </c>
      <c r="F32">
        <v>6.45</v>
      </c>
      <c r="G32">
        <v>0.59699999999999998</v>
      </c>
      <c r="H32">
        <v>11</v>
      </c>
      <c r="I32">
        <v>1.99</v>
      </c>
      <c r="J32">
        <v>2.4400000000000002E-2</v>
      </c>
      <c r="K32">
        <v>14.8</v>
      </c>
      <c r="L32">
        <v>8.69</v>
      </c>
      <c r="M32">
        <v>16.899999999999999</v>
      </c>
      <c r="N32">
        <v>25.5</v>
      </c>
      <c r="O32">
        <v>1.38</v>
      </c>
      <c r="P32">
        <v>39.799999999999997</v>
      </c>
      <c r="Q32">
        <v>25.3</v>
      </c>
      <c r="R32">
        <v>0.73</v>
      </c>
      <c r="S32">
        <v>7.79</v>
      </c>
      <c r="T32">
        <v>17.2</v>
      </c>
      <c r="U32">
        <v>0.78</v>
      </c>
      <c r="V32">
        <v>19.5</v>
      </c>
      <c r="W32">
        <v>1.42</v>
      </c>
      <c r="X32">
        <v>2.4400000000000002E-2</v>
      </c>
      <c r="Y32">
        <v>0.50600000000000001</v>
      </c>
      <c r="Z32">
        <v>5</v>
      </c>
      <c r="AA32">
        <v>12.1</v>
      </c>
      <c r="AB32">
        <v>15.2</v>
      </c>
      <c r="AC32">
        <v>30.4</v>
      </c>
      <c r="AD32">
        <v>1.78</v>
      </c>
      <c r="AE32">
        <v>1.94</v>
      </c>
      <c r="AF32">
        <v>15.7</v>
      </c>
      <c r="AG32">
        <v>3.6</v>
      </c>
      <c r="AH32">
        <v>11.3</v>
      </c>
      <c r="AI32">
        <f>AVERAGE(B32:AH32)</f>
        <v>10.518975757575756</v>
      </c>
      <c r="AJ32">
        <f>STDEV(B32:AH32)/(COUNT(B32:AH32)^0.5)</f>
        <v>1.7617137856523102</v>
      </c>
    </row>
    <row r="33" spans="1:36" x14ac:dyDescent="0.25">
      <c r="A33" s="1">
        <v>45406.333333333336</v>
      </c>
      <c r="B33">
        <v>0.86599999999999999</v>
      </c>
      <c r="C33">
        <v>8.66</v>
      </c>
      <c r="D33">
        <v>1.78</v>
      </c>
      <c r="E33">
        <v>1.96</v>
      </c>
      <c r="F33">
        <v>5.03</v>
      </c>
      <c r="G33">
        <v>0.39</v>
      </c>
      <c r="H33">
        <v>12.4</v>
      </c>
      <c r="I33">
        <v>0.70199999999999996</v>
      </c>
      <c r="J33">
        <v>11.8</v>
      </c>
      <c r="K33">
        <v>2.29</v>
      </c>
      <c r="L33">
        <v>2.16</v>
      </c>
      <c r="M33">
        <v>1.26</v>
      </c>
      <c r="N33">
        <v>24.6</v>
      </c>
      <c r="O33">
        <v>2.4400000000000002E-2</v>
      </c>
      <c r="P33">
        <v>4.82</v>
      </c>
      <c r="Q33">
        <v>1.6</v>
      </c>
      <c r="R33">
        <v>0.66600000000000004</v>
      </c>
      <c r="S33">
        <v>2.08</v>
      </c>
      <c r="T33">
        <v>4</v>
      </c>
      <c r="U33">
        <v>7.66</v>
      </c>
      <c r="V33">
        <v>14</v>
      </c>
      <c r="W33">
        <v>3.96</v>
      </c>
      <c r="X33">
        <v>13.7</v>
      </c>
      <c r="Y33">
        <v>2.77</v>
      </c>
      <c r="Z33">
        <v>1.23</v>
      </c>
      <c r="AA33">
        <v>2.77</v>
      </c>
      <c r="AB33">
        <v>3.12</v>
      </c>
      <c r="AC33">
        <v>1.23</v>
      </c>
      <c r="AD33">
        <v>1.18</v>
      </c>
      <c r="AE33">
        <v>3</v>
      </c>
      <c r="AF33">
        <v>1.29</v>
      </c>
      <c r="AG33">
        <v>0.20200000000000001</v>
      </c>
      <c r="AH33">
        <v>3.26</v>
      </c>
      <c r="AI33">
        <f t="shared" ref="AI33:AI55" si="2">AVERAGE(B33:AH33)</f>
        <v>4.4381939393939387</v>
      </c>
      <c r="AJ33">
        <f t="shared" ref="AJ33:AJ55" si="3">STDEV(B33:AH33)/(COUNT(B33:AH33)^0.5)</f>
        <v>0.93530300942030054</v>
      </c>
    </row>
    <row r="34" spans="1:36" x14ac:dyDescent="0.25">
      <c r="A34" s="1">
        <v>45406.375</v>
      </c>
      <c r="B34">
        <v>0.44500000000000001</v>
      </c>
      <c r="C34">
        <v>2.56</v>
      </c>
      <c r="D34">
        <v>0.94899999999999995</v>
      </c>
      <c r="E34">
        <v>6.54E-2</v>
      </c>
      <c r="F34">
        <v>17.5</v>
      </c>
      <c r="G34">
        <v>5.03</v>
      </c>
      <c r="H34">
        <v>1.73</v>
      </c>
      <c r="I34">
        <v>0.41099999999999998</v>
      </c>
      <c r="J34">
        <v>6.51</v>
      </c>
      <c r="K34">
        <v>2.52</v>
      </c>
      <c r="L34">
        <v>32</v>
      </c>
      <c r="M34">
        <v>17.399999999999999</v>
      </c>
      <c r="N34">
        <v>2.69</v>
      </c>
      <c r="O34">
        <v>2.96</v>
      </c>
      <c r="P34">
        <v>1.19</v>
      </c>
      <c r="Q34">
        <v>0.83699999999999997</v>
      </c>
      <c r="R34">
        <v>5.31</v>
      </c>
      <c r="S34">
        <v>4.13</v>
      </c>
      <c r="T34">
        <v>4.33</v>
      </c>
      <c r="U34">
        <v>2.34</v>
      </c>
      <c r="V34">
        <v>6.49</v>
      </c>
      <c r="W34">
        <v>1.96</v>
      </c>
      <c r="X34">
        <v>2.4400000000000002E-2</v>
      </c>
      <c r="Y34">
        <v>0.98199999999999998</v>
      </c>
      <c r="Z34">
        <v>14.3</v>
      </c>
      <c r="AA34">
        <v>0.13400000000000001</v>
      </c>
      <c r="AB34">
        <v>7.5</v>
      </c>
      <c r="AC34">
        <v>1.34</v>
      </c>
      <c r="AD34">
        <v>27.6</v>
      </c>
      <c r="AE34">
        <v>0.59599999999999997</v>
      </c>
      <c r="AF34">
        <v>7.01</v>
      </c>
      <c r="AG34">
        <v>3.3</v>
      </c>
      <c r="AH34">
        <v>1.44</v>
      </c>
      <c r="AI34">
        <f t="shared" si="2"/>
        <v>5.5631454545454542</v>
      </c>
      <c r="AJ34">
        <f t="shared" si="3"/>
        <v>1.3476436021551665</v>
      </c>
    </row>
    <row r="35" spans="1:36" x14ac:dyDescent="0.25">
      <c r="A35" s="1">
        <v>45406.416666666664</v>
      </c>
      <c r="B35">
        <v>4.05</v>
      </c>
      <c r="C35">
        <v>1.35</v>
      </c>
      <c r="D35">
        <v>3.84</v>
      </c>
      <c r="E35">
        <v>0.72899999999999998</v>
      </c>
      <c r="F35">
        <v>5.43</v>
      </c>
      <c r="G35">
        <v>4.33</v>
      </c>
      <c r="H35">
        <v>1.34</v>
      </c>
      <c r="I35">
        <v>19.600000000000001</v>
      </c>
      <c r="J35">
        <v>2.8</v>
      </c>
      <c r="K35">
        <v>7.55</v>
      </c>
      <c r="L35">
        <v>8.0299999999999994</v>
      </c>
      <c r="M35">
        <v>6.61</v>
      </c>
      <c r="N35">
        <v>5.76</v>
      </c>
      <c r="O35">
        <v>5.62</v>
      </c>
      <c r="P35">
        <v>0.13700000000000001</v>
      </c>
      <c r="Q35">
        <v>0.93600000000000005</v>
      </c>
      <c r="R35">
        <v>29.5</v>
      </c>
      <c r="S35">
        <v>0.13100000000000001</v>
      </c>
      <c r="T35">
        <v>7.24</v>
      </c>
      <c r="U35">
        <v>2.04</v>
      </c>
      <c r="V35">
        <v>2.11</v>
      </c>
      <c r="W35">
        <v>10.8</v>
      </c>
      <c r="X35">
        <v>0.30199999999999999</v>
      </c>
      <c r="Y35">
        <v>6.7599999999999993E-2</v>
      </c>
      <c r="Z35">
        <v>1.66</v>
      </c>
      <c r="AA35">
        <v>19.7</v>
      </c>
      <c r="AB35">
        <v>4.34</v>
      </c>
      <c r="AC35">
        <v>4.7699999999999996</v>
      </c>
      <c r="AD35">
        <v>8.26</v>
      </c>
      <c r="AE35">
        <v>7.42</v>
      </c>
      <c r="AF35">
        <v>11</v>
      </c>
      <c r="AG35">
        <v>20.6</v>
      </c>
      <c r="AH35">
        <v>11</v>
      </c>
      <c r="AI35">
        <f t="shared" si="2"/>
        <v>6.6379575757575751</v>
      </c>
      <c r="AJ35">
        <f t="shared" si="3"/>
        <v>1.200699872888459</v>
      </c>
    </row>
    <row r="36" spans="1:36" x14ac:dyDescent="0.25">
      <c r="A36" s="1">
        <v>45406.458333333336</v>
      </c>
      <c r="B36">
        <v>3.65</v>
      </c>
      <c r="C36">
        <v>22.7</v>
      </c>
      <c r="D36">
        <v>0.42099999999999999</v>
      </c>
      <c r="E36">
        <v>8.7100000000000009</v>
      </c>
      <c r="F36">
        <v>1.82</v>
      </c>
      <c r="G36">
        <v>13</v>
      </c>
      <c r="H36">
        <v>16.399999999999999</v>
      </c>
      <c r="I36">
        <v>9.02</v>
      </c>
      <c r="J36">
        <v>1.85</v>
      </c>
      <c r="K36">
        <v>9.6199999999999992</v>
      </c>
      <c r="L36">
        <v>10</v>
      </c>
      <c r="M36">
        <v>15.1</v>
      </c>
      <c r="N36">
        <v>13.5</v>
      </c>
      <c r="O36">
        <v>25.9</v>
      </c>
      <c r="P36">
        <v>0.94699999999999995</v>
      </c>
      <c r="Q36">
        <v>2.76</v>
      </c>
      <c r="R36">
        <v>0.59699999999999998</v>
      </c>
      <c r="S36">
        <v>3.47</v>
      </c>
      <c r="T36">
        <v>1.38</v>
      </c>
      <c r="U36">
        <v>11.5</v>
      </c>
      <c r="V36">
        <v>5.63</v>
      </c>
      <c r="W36">
        <v>9.9600000000000009</v>
      </c>
      <c r="X36">
        <v>8.75</v>
      </c>
      <c r="Y36">
        <v>1.48</v>
      </c>
      <c r="Z36">
        <v>1.94</v>
      </c>
      <c r="AA36">
        <v>1.91</v>
      </c>
      <c r="AB36">
        <v>0.41099999999999998</v>
      </c>
      <c r="AC36">
        <v>8.5</v>
      </c>
      <c r="AD36">
        <v>16.3</v>
      </c>
      <c r="AE36">
        <v>14</v>
      </c>
      <c r="AF36">
        <v>20.5</v>
      </c>
      <c r="AG36">
        <v>6.26</v>
      </c>
      <c r="AH36">
        <v>8.51</v>
      </c>
      <c r="AI36">
        <f t="shared" si="2"/>
        <v>8.3786666666666658</v>
      </c>
      <c r="AJ36">
        <f t="shared" si="3"/>
        <v>1.2020151803063339</v>
      </c>
    </row>
    <row r="37" spans="1:36" x14ac:dyDescent="0.25">
      <c r="A37" s="1">
        <v>45406.5</v>
      </c>
      <c r="B37">
        <v>20.100000000000001</v>
      </c>
      <c r="C37">
        <v>1.2</v>
      </c>
      <c r="D37">
        <v>13.1</v>
      </c>
      <c r="E37">
        <v>2.4400000000000002E-2</v>
      </c>
      <c r="F37">
        <v>6.65</v>
      </c>
      <c r="G37">
        <v>0.5</v>
      </c>
      <c r="H37">
        <v>2.69</v>
      </c>
      <c r="I37">
        <v>0.499</v>
      </c>
      <c r="J37">
        <v>0.13100000000000001</v>
      </c>
      <c r="K37">
        <v>4.43</v>
      </c>
      <c r="L37">
        <v>0.64100000000000001</v>
      </c>
      <c r="M37">
        <v>1.1499999999999999</v>
      </c>
      <c r="N37">
        <v>1.5</v>
      </c>
      <c r="O37">
        <v>1.18</v>
      </c>
      <c r="P37">
        <v>0.224</v>
      </c>
      <c r="Q37">
        <v>1.86</v>
      </c>
      <c r="R37">
        <v>0.51600000000000001</v>
      </c>
      <c r="S37">
        <v>0.38100000000000001</v>
      </c>
      <c r="T37">
        <v>0.26700000000000002</v>
      </c>
      <c r="U37">
        <v>0.28299999999999997</v>
      </c>
      <c r="V37">
        <v>0.91700000000000004</v>
      </c>
      <c r="W37">
        <v>2.98</v>
      </c>
      <c r="X37">
        <v>0.38500000000000001</v>
      </c>
      <c r="Y37">
        <v>16.600000000000001</v>
      </c>
      <c r="Z37">
        <v>0.248</v>
      </c>
      <c r="AA37">
        <v>9.6799999999999997E-2</v>
      </c>
      <c r="AB37">
        <v>2.82</v>
      </c>
      <c r="AC37">
        <v>14</v>
      </c>
      <c r="AD37">
        <v>0.86</v>
      </c>
      <c r="AE37">
        <v>0.47</v>
      </c>
      <c r="AF37">
        <v>3.06</v>
      </c>
      <c r="AG37">
        <v>1.1299999999999999</v>
      </c>
      <c r="AH37">
        <v>2.98</v>
      </c>
      <c r="AI37">
        <f t="shared" si="2"/>
        <v>3.147672727272727</v>
      </c>
      <c r="AJ37">
        <f t="shared" si="3"/>
        <v>0.89245785427262214</v>
      </c>
    </row>
    <row r="38" spans="1:36" x14ac:dyDescent="0.25">
      <c r="A38" s="1">
        <v>45406.541666666664</v>
      </c>
      <c r="B38">
        <v>2.4400000000000002E-2</v>
      </c>
      <c r="C38">
        <v>1.29</v>
      </c>
      <c r="D38">
        <v>1.72</v>
      </c>
      <c r="E38">
        <v>0.58899999999999997</v>
      </c>
      <c r="F38">
        <v>17.600000000000001</v>
      </c>
      <c r="G38">
        <v>1.1299999999999999</v>
      </c>
      <c r="H38">
        <v>5.66</v>
      </c>
      <c r="I38">
        <v>0.873</v>
      </c>
      <c r="J38">
        <v>0.52900000000000003</v>
      </c>
      <c r="K38">
        <v>4.55</v>
      </c>
      <c r="L38">
        <v>2.4400000000000002E-2</v>
      </c>
      <c r="M38">
        <v>11</v>
      </c>
      <c r="N38">
        <v>4.1099999999999998E-2</v>
      </c>
      <c r="O38">
        <v>0.54</v>
      </c>
      <c r="P38">
        <v>1.36</v>
      </c>
      <c r="Q38">
        <v>29.6</v>
      </c>
      <c r="R38">
        <v>10.6</v>
      </c>
      <c r="S38">
        <v>2.48</v>
      </c>
      <c r="T38">
        <v>17.8</v>
      </c>
      <c r="U38">
        <v>1.93</v>
      </c>
      <c r="V38">
        <v>6.8</v>
      </c>
      <c r="W38">
        <v>1.17</v>
      </c>
      <c r="X38">
        <v>0.85699999999999998</v>
      </c>
      <c r="Y38">
        <v>0.13800000000000001</v>
      </c>
      <c r="Z38">
        <v>4.34</v>
      </c>
      <c r="AA38">
        <v>13.7</v>
      </c>
      <c r="AB38">
        <v>7.23</v>
      </c>
      <c r="AC38">
        <v>0.53900000000000003</v>
      </c>
      <c r="AD38">
        <v>0.61</v>
      </c>
      <c r="AE38">
        <v>5.44</v>
      </c>
      <c r="AF38">
        <v>8.68</v>
      </c>
      <c r="AG38">
        <v>2.4700000000000002</v>
      </c>
      <c r="AH38">
        <v>3.17</v>
      </c>
      <c r="AI38">
        <f t="shared" si="2"/>
        <v>4.9843909090909087</v>
      </c>
      <c r="AJ38">
        <f t="shared" si="3"/>
        <v>1.1584742303208531</v>
      </c>
    </row>
    <row r="39" spans="1:36" x14ac:dyDescent="0.25">
      <c r="A39" s="1">
        <v>45406.583333333336</v>
      </c>
      <c r="B39">
        <v>11.8</v>
      </c>
      <c r="C39">
        <v>20.2</v>
      </c>
      <c r="D39">
        <v>0.94099999999999995</v>
      </c>
      <c r="E39">
        <v>3.46</v>
      </c>
      <c r="F39">
        <v>8.73</v>
      </c>
      <c r="G39">
        <v>0.13300000000000001</v>
      </c>
      <c r="H39">
        <v>13.3</v>
      </c>
      <c r="I39">
        <v>14</v>
      </c>
      <c r="J39">
        <v>13.2</v>
      </c>
      <c r="K39">
        <v>3.06</v>
      </c>
      <c r="L39">
        <v>2.4400000000000002E-2</v>
      </c>
      <c r="M39">
        <v>1.96</v>
      </c>
      <c r="N39">
        <v>0.89100000000000001</v>
      </c>
      <c r="O39">
        <v>4.3099999999999996</v>
      </c>
      <c r="P39">
        <v>3.24</v>
      </c>
      <c r="Q39">
        <v>13.7</v>
      </c>
      <c r="R39">
        <v>16.600000000000001</v>
      </c>
      <c r="S39">
        <v>7.26</v>
      </c>
      <c r="T39">
        <v>1.89</v>
      </c>
      <c r="U39">
        <v>3.44E-2</v>
      </c>
      <c r="V39">
        <v>7.41</v>
      </c>
      <c r="W39">
        <v>27.9</v>
      </c>
      <c r="X39">
        <v>1.26</v>
      </c>
      <c r="Y39">
        <v>1.62</v>
      </c>
      <c r="Z39">
        <v>11</v>
      </c>
      <c r="AA39">
        <v>0.58499999999999996</v>
      </c>
      <c r="AB39">
        <v>5.46</v>
      </c>
      <c r="AC39">
        <v>1.34</v>
      </c>
      <c r="AD39">
        <v>1.03</v>
      </c>
      <c r="AE39">
        <v>8.6300000000000002E-2</v>
      </c>
      <c r="AF39">
        <v>9.2799999999999994</v>
      </c>
      <c r="AG39">
        <v>0.245</v>
      </c>
      <c r="AH39">
        <v>5.29</v>
      </c>
      <c r="AI39">
        <f t="shared" si="2"/>
        <v>6.4012151515151521</v>
      </c>
      <c r="AJ39">
        <f t="shared" si="3"/>
        <v>1.19167686423472</v>
      </c>
    </row>
    <row r="40" spans="1:36" x14ac:dyDescent="0.25">
      <c r="A40" s="1">
        <v>45406.625</v>
      </c>
      <c r="B40">
        <v>1.1499999999999999</v>
      </c>
      <c r="C40">
        <v>8.41</v>
      </c>
      <c r="D40">
        <v>2.68</v>
      </c>
      <c r="E40">
        <v>0.752</v>
      </c>
      <c r="F40">
        <v>7.08</v>
      </c>
      <c r="G40">
        <v>3.12</v>
      </c>
      <c r="H40">
        <v>4.92</v>
      </c>
      <c r="I40">
        <v>7.93</v>
      </c>
      <c r="J40">
        <v>21.7</v>
      </c>
      <c r="K40">
        <v>5.97</v>
      </c>
      <c r="L40">
        <v>7.6700000000000004E-2</v>
      </c>
      <c r="M40">
        <v>3</v>
      </c>
      <c r="N40">
        <v>1.59</v>
      </c>
      <c r="O40">
        <v>2.4400000000000002E-2</v>
      </c>
      <c r="P40">
        <v>0.108</v>
      </c>
      <c r="Q40">
        <v>1.37</v>
      </c>
      <c r="R40">
        <v>2.4400000000000002E-2</v>
      </c>
      <c r="S40">
        <v>2.61</v>
      </c>
      <c r="T40">
        <v>3.77</v>
      </c>
      <c r="U40">
        <v>0.26</v>
      </c>
      <c r="V40">
        <v>3.05</v>
      </c>
      <c r="W40">
        <v>1.47</v>
      </c>
      <c r="X40">
        <v>0.67500000000000004</v>
      </c>
      <c r="Y40">
        <v>3.1600000000000003E-2</v>
      </c>
      <c r="Z40">
        <v>10.6</v>
      </c>
      <c r="AA40">
        <v>6.15</v>
      </c>
      <c r="AB40">
        <v>6.67</v>
      </c>
      <c r="AC40">
        <v>7.65</v>
      </c>
      <c r="AD40">
        <v>0.13100000000000001</v>
      </c>
      <c r="AE40">
        <v>1.02</v>
      </c>
      <c r="AF40">
        <v>1.57</v>
      </c>
      <c r="AG40">
        <v>1.73</v>
      </c>
      <c r="AH40">
        <v>1.42</v>
      </c>
      <c r="AI40">
        <f t="shared" si="2"/>
        <v>3.5973666666666668</v>
      </c>
      <c r="AJ40">
        <f t="shared" si="3"/>
        <v>0.76276322911298533</v>
      </c>
    </row>
    <row r="41" spans="1:36" x14ac:dyDescent="0.25">
      <c r="A41" s="1">
        <v>45406.666666666664</v>
      </c>
      <c r="B41">
        <v>3.18</v>
      </c>
      <c r="C41">
        <v>1.89</v>
      </c>
      <c r="D41">
        <v>13.6</v>
      </c>
      <c r="E41">
        <v>9.86</v>
      </c>
      <c r="F41">
        <v>15.4</v>
      </c>
      <c r="G41">
        <v>4.8499999999999996</v>
      </c>
      <c r="H41">
        <v>2.23</v>
      </c>
      <c r="I41">
        <v>1.1200000000000001</v>
      </c>
      <c r="J41">
        <v>5.84</v>
      </c>
      <c r="K41">
        <v>1.06</v>
      </c>
      <c r="L41">
        <v>0.41399999999999998</v>
      </c>
      <c r="M41">
        <v>3.46</v>
      </c>
      <c r="N41">
        <v>0.91500000000000004</v>
      </c>
      <c r="O41">
        <v>2.4400000000000002E-2</v>
      </c>
      <c r="P41">
        <v>3.5</v>
      </c>
      <c r="Q41">
        <v>1.39</v>
      </c>
      <c r="R41">
        <v>0.26200000000000001</v>
      </c>
      <c r="S41">
        <v>2.68</v>
      </c>
      <c r="T41">
        <v>1.45</v>
      </c>
      <c r="U41">
        <v>4.59</v>
      </c>
      <c r="V41">
        <v>4.92</v>
      </c>
      <c r="W41">
        <v>3.09</v>
      </c>
      <c r="X41">
        <v>2.4400000000000002E-2</v>
      </c>
      <c r="Y41">
        <v>1.27</v>
      </c>
      <c r="Z41">
        <v>11.9</v>
      </c>
      <c r="AA41">
        <v>17.3</v>
      </c>
      <c r="AB41">
        <v>6.3</v>
      </c>
      <c r="AC41">
        <v>0.76200000000000001</v>
      </c>
      <c r="AD41">
        <v>6.21</v>
      </c>
      <c r="AE41">
        <v>1.65</v>
      </c>
      <c r="AF41">
        <v>2.88</v>
      </c>
      <c r="AG41">
        <v>0.53</v>
      </c>
      <c r="AH41">
        <v>3.78</v>
      </c>
      <c r="AI41">
        <f t="shared" si="2"/>
        <v>4.1918727272727274</v>
      </c>
      <c r="AJ41">
        <f t="shared" si="3"/>
        <v>0.78841475249764492</v>
      </c>
    </row>
    <row r="42" spans="1:36" x14ac:dyDescent="0.25">
      <c r="A42" s="1">
        <v>45406.708333333336</v>
      </c>
      <c r="B42">
        <v>10.199999999999999</v>
      </c>
      <c r="C42">
        <v>20.9</v>
      </c>
      <c r="D42">
        <v>22.9</v>
      </c>
      <c r="E42">
        <v>11.5</v>
      </c>
      <c r="F42">
        <v>12.7</v>
      </c>
      <c r="G42">
        <v>14.5</v>
      </c>
      <c r="H42">
        <v>31</v>
      </c>
      <c r="I42">
        <v>22.2</v>
      </c>
      <c r="J42">
        <v>3.98</v>
      </c>
      <c r="K42">
        <v>15.8</v>
      </c>
      <c r="L42">
        <v>0.36199999999999999</v>
      </c>
      <c r="M42">
        <v>1.31</v>
      </c>
      <c r="N42">
        <v>12.6</v>
      </c>
      <c r="O42">
        <v>16.3</v>
      </c>
      <c r="P42">
        <v>23.2</v>
      </c>
      <c r="Q42">
        <v>10.199999999999999</v>
      </c>
      <c r="R42">
        <v>6.98</v>
      </c>
      <c r="S42">
        <v>10.7</v>
      </c>
      <c r="T42">
        <v>19.5</v>
      </c>
      <c r="U42">
        <v>18</v>
      </c>
      <c r="V42">
        <v>13.3</v>
      </c>
      <c r="W42">
        <v>15.4</v>
      </c>
      <c r="X42">
        <v>23.6</v>
      </c>
      <c r="Y42">
        <v>25.2</v>
      </c>
      <c r="Z42">
        <v>21.9</v>
      </c>
      <c r="AA42">
        <v>15.8</v>
      </c>
      <c r="AB42">
        <v>18</v>
      </c>
      <c r="AC42">
        <v>2.34</v>
      </c>
      <c r="AD42">
        <v>0.33700000000000002</v>
      </c>
      <c r="AE42">
        <v>1.42</v>
      </c>
      <c r="AF42">
        <v>12.2</v>
      </c>
      <c r="AG42">
        <v>19.7</v>
      </c>
      <c r="AH42">
        <v>13</v>
      </c>
      <c r="AI42">
        <f t="shared" si="2"/>
        <v>14.152393939393937</v>
      </c>
      <c r="AJ42">
        <f t="shared" si="3"/>
        <v>1.3719543141215504</v>
      </c>
    </row>
    <row r="43" spans="1:36" x14ac:dyDescent="0.25">
      <c r="A43" s="1">
        <v>45406.75</v>
      </c>
      <c r="B43">
        <v>1.37</v>
      </c>
      <c r="C43">
        <v>1.48</v>
      </c>
      <c r="D43">
        <v>3.57</v>
      </c>
      <c r="E43">
        <v>1.72</v>
      </c>
      <c r="F43">
        <v>0.96199999999999997</v>
      </c>
      <c r="G43">
        <v>5.4600000000000003E-2</v>
      </c>
      <c r="H43">
        <v>4.43</v>
      </c>
      <c r="I43">
        <v>3.44E-2</v>
      </c>
      <c r="J43">
        <v>9.4E-2</v>
      </c>
      <c r="K43">
        <v>2.0499999999999998</v>
      </c>
      <c r="L43">
        <v>10.1</v>
      </c>
      <c r="M43">
        <v>16.899999999999999</v>
      </c>
      <c r="N43">
        <v>2.4400000000000002E-2</v>
      </c>
      <c r="O43">
        <v>3.56</v>
      </c>
      <c r="P43">
        <v>0.38800000000000001</v>
      </c>
      <c r="Q43">
        <v>2.98</v>
      </c>
      <c r="R43">
        <v>0.28199999999999997</v>
      </c>
      <c r="S43">
        <v>3.88</v>
      </c>
      <c r="T43">
        <v>4.38</v>
      </c>
      <c r="U43">
        <v>3.07</v>
      </c>
      <c r="V43">
        <v>7.34</v>
      </c>
      <c r="W43">
        <v>0.28199999999999997</v>
      </c>
      <c r="X43">
        <v>2.4400000000000002E-2</v>
      </c>
      <c r="Y43">
        <v>1.26</v>
      </c>
      <c r="Z43">
        <v>3.1</v>
      </c>
      <c r="AA43">
        <v>0.878</v>
      </c>
      <c r="AB43">
        <v>4.83</v>
      </c>
      <c r="AC43">
        <v>17.600000000000001</v>
      </c>
      <c r="AD43">
        <v>21.3</v>
      </c>
      <c r="AE43">
        <v>11.9</v>
      </c>
      <c r="AF43">
        <v>12.6</v>
      </c>
      <c r="AG43">
        <v>4.7699999999999996</v>
      </c>
      <c r="AH43">
        <v>5.6</v>
      </c>
      <c r="AI43">
        <f t="shared" si="2"/>
        <v>4.6307212121212116</v>
      </c>
      <c r="AJ43">
        <f t="shared" si="3"/>
        <v>0.97173730807482106</v>
      </c>
    </row>
    <row r="44" spans="1:36" x14ac:dyDescent="0.25">
      <c r="A44" s="1">
        <v>45406.791666666664</v>
      </c>
      <c r="B44">
        <v>12.2</v>
      </c>
      <c r="C44">
        <v>3.6</v>
      </c>
      <c r="D44">
        <v>5.86</v>
      </c>
      <c r="E44">
        <v>2.1800000000000002</v>
      </c>
      <c r="F44">
        <v>3.87</v>
      </c>
      <c r="G44">
        <v>1.02</v>
      </c>
      <c r="H44">
        <v>1.33</v>
      </c>
      <c r="I44">
        <v>0.83599999999999997</v>
      </c>
      <c r="J44">
        <v>2.4400000000000002E-2</v>
      </c>
      <c r="K44">
        <v>2.92</v>
      </c>
      <c r="L44">
        <v>3.27E-2</v>
      </c>
      <c r="M44">
        <v>1.19</v>
      </c>
      <c r="N44">
        <v>0.58599999999999997</v>
      </c>
      <c r="O44">
        <v>2.4400000000000002E-2</v>
      </c>
      <c r="P44">
        <v>0.16600000000000001</v>
      </c>
      <c r="Q44">
        <v>9.5500000000000007</v>
      </c>
      <c r="R44">
        <v>4.48E-2</v>
      </c>
      <c r="S44">
        <v>7.45</v>
      </c>
      <c r="T44">
        <v>7.48</v>
      </c>
      <c r="U44">
        <v>18.8</v>
      </c>
      <c r="V44">
        <v>9.25</v>
      </c>
      <c r="W44">
        <v>24.6</v>
      </c>
      <c r="X44">
        <v>16.5</v>
      </c>
      <c r="Y44">
        <v>4.53</v>
      </c>
      <c r="Z44">
        <v>15.1</v>
      </c>
      <c r="AA44">
        <v>4.22</v>
      </c>
      <c r="AB44">
        <v>3.86</v>
      </c>
      <c r="AC44">
        <v>10.6</v>
      </c>
      <c r="AD44">
        <v>0.39200000000000002</v>
      </c>
      <c r="AE44">
        <v>2.38</v>
      </c>
      <c r="AF44">
        <v>2.75</v>
      </c>
      <c r="AG44">
        <v>1.1299999999999999</v>
      </c>
      <c r="AH44">
        <v>7.9</v>
      </c>
      <c r="AI44">
        <f t="shared" si="2"/>
        <v>5.5265545454545446</v>
      </c>
      <c r="AJ44">
        <f t="shared" si="3"/>
        <v>1.071106634134682</v>
      </c>
    </row>
    <row r="45" spans="1:36" x14ac:dyDescent="0.25">
      <c r="A45" s="1">
        <v>45406.833333333336</v>
      </c>
      <c r="B45">
        <v>22.8</v>
      </c>
      <c r="C45">
        <v>4.59</v>
      </c>
      <c r="D45">
        <v>5.03</v>
      </c>
      <c r="E45">
        <v>5.3</v>
      </c>
      <c r="F45">
        <v>12.3</v>
      </c>
      <c r="G45">
        <v>7.88</v>
      </c>
      <c r="H45">
        <v>7.35</v>
      </c>
      <c r="I45">
        <v>0.24399999999999999</v>
      </c>
      <c r="J45">
        <v>3.61</v>
      </c>
      <c r="K45">
        <v>2.62</v>
      </c>
      <c r="L45">
        <v>24.5</v>
      </c>
      <c r="M45">
        <v>3.02</v>
      </c>
      <c r="N45">
        <v>2.4400000000000002E-2</v>
      </c>
      <c r="O45">
        <v>0.72399999999999998</v>
      </c>
      <c r="P45">
        <v>5.48</v>
      </c>
      <c r="Q45">
        <v>6.06</v>
      </c>
      <c r="R45">
        <v>2.42</v>
      </c>
      <c r="S45">
        <v>10.4</v>
      </c>
      <c r="T45">
        <v>10.6</v>
      </c>
      <c r="U45">
        <v>29.6</v>
      </c>
      <c r="V45">
        <v>22.6</v>
      </c>
      <c r="W45">
        <v>3.35</v>
      </c>
      <c r="X45">
        <v>2.2599999999999998</v>
      </c>
      <c r="Y45">
        <v>1.65</v>
      </c>
      <c r="Z45">
        <v>6.12</v>
      </c>
      <c r="AA45">
        <v>7.23</v>
      </c>
      <c r="AB45">
        <v>6.4</v>
      </c>
      <c r="AC45">
        <v>19.3</v>
      </c>
      <c r="AD45">
        <v>1.05</v>
      </c>
      <c r="AE45">
        <v>5.09</v>
      </c>
      <c r="AF45">
        <v>5.26</v>
      </c>
      <c r="AG45">
        <v>25</v>
      </c>
      <c r="AH45">
        <v>10</v>
      </c>
      <c r="AI45">
        <f t="shared" si="2"/>
        <v>8.4806787878787873</v>
      </c>
      <c r="AJ45">
        <f t="shared" si="3"/>
        <v>1.4102212404855563</v>
      </c>
    </row>
    <row r="46" spans="1:36" x14ac:dyDescent="0.25">
      <c r="A46" s="1">
        <v>45406.875</v>
      </c>
      <c r="B46">
        <v>12.8</v>
      </c>
      <c r="C46">
        <v>7.4</v>
      </c>
      <c r="D46">
        <v>21</v>
      </c>
      <c r="E46">
        <v>19.600000000000001</v>
      </c>
      <c r="F46">
        <v>4.46</v>
      </c>
      <c r="G46">
        <v>0.73699999999999999</v>
      </c>
      <c r="H46">
        <v>2.5099999999999998</v>
      </c>
      <c r="I46">
        <v>1.77</v>
      </c>
      <c r="J46">
        <v>0.57499999999999996</v>
      </c>
      <c r="K46">
        <v>7.99</v>
      </c>
      <c r="L46">
        <v>18.3</v>
      </c>
      <c r="M46">
        <v>13.3</v>
      </c>
      <c r="N46">
        <v>9.7799999999999994</v>
      </c>
      <c r="O46">
        <v>21.9</v>
      </c>
      <c r="P46">
        <v>20.2</v>
      </c>
      <c r="Q46">
        <v>4.58</v>
      </c>
      <c r="R46">
        <v>3.84</v>
      </c>
      <c r="S46">
        <v>24.6</v>
      </c>
      <c r="T46">
        <v>6.44</v>
      </c>
      <c r="U46">
        <v>11.9</v>
      </c>
      <c r="V46">
        <v>15.2</v>
      </c>
      <c r="W46">
        <v>2.59</v>
      </c>
      <c r="X46">
        <v>0.32800000000000001</v>
      </c>
      <c r="Y46">
        <v>7.29</v>
      </c>
      <c r="Z46">
        <v>8.07</v>
      </c>
      <c r="AA46">
        <v>21.2</v>
      </c>
      <c r="AB46">
        <v>14.3</v>
      </c>
      <c r="AC46">
        <v>25.6</v>
      </c>
      <c r="AD46">
        <v>0.13100000000000001</v>
      </c>
      <c r="AE46">
        <v>30</v>
      </c>
      <c r="AF46">
        <v>9.4700000000000006</v>
      </c>
      <c r="AG46">
        <v>21.3</v>
      </c>
      <c r="AH46">
        <v>20.5</v>
      </c>
      <c r="AI46">
        <f t="shared" si="2"/>
        <v>11.80790909090909</v>
      </c>
      <c r="AJ46">
        <f t="shared" si="3"/>
        <v>1.502779487545896</v>
      </c>
    </row>
    <row r="47" spans="1:36" x14ac:dyDescent="0.25">
      <c r="A47" s="1">
        <v>45406.916666666664</v>
      </c>
      <c r="B47">
        <v>5.28</v>
      </c>
      <c r="C47">
        <v>30.4</v>
      </c>
      <c r="D47">
        <v>25</v>
      </c>
      <c r="E47">
        <v>41</v>
      </c>
      <c r="F47">
        <v>4.54</v>
      </c>
      <c r="G47">
        <v>24.2</v>
      </c>
      <c r="H47">
        <v>9.66</v>
      </c>
      <c r="I47">
        <v>9.3899999999999997E-2</v>
      </c>
      <c r="J47">
        <v>4.9000000000000004</v>
      </c>
      <c r="K47">
        <v>33.200000000000003</v>
      </c>
      <c r="L47">
        <v>23.5</v>
      </c>
      <c r="M47">
        <v>15</v>
      </c>
      <c r="N47">
        <v>2.17</v>
      </c>
      <c r="O47">
        <v>30.7</v>
      </c>
      <c r="P47">
        <v>31.3</v>
      </c>
      <c r="Q47">
        <v>4.78</v>
      </c>
      <c r="R47">
        <v>2.08</v>
      </c>
      <c r="S47">
        <v>9.7200000000000006</v>
      </c>
      <c r="T47">
        <v>30.3</v>
      </c>
      <c r="U47">
        <v>5.84</v>
      </c>
      <c r="V47">
        <v>9.11</v>
      </c>
      <c r="W47">
        <v>12.7</v>
      </c>
      <c r="X47">
        <v>6.0100000000000001E-2</v>
      </c>
      <c r="Y47">
        <v>32.299999999999997</v>
      </c>
      <c r="Z47">
        <v>2.52</v>
      </c>
      <c r="AA47">
        <v>13.4</v>
      </c>
      <c r="AB47">
        <v>18.8</v>
      </c>
      <c r="AC47">
        <v>11.7</v>
      </c>
      <c r="AD47">
        <v>8.15</v>
      </c>
      <c r="AE47">
        <v>19.600000000000001</v>
      </c>
      <c r="AF47">
        <v>1.29</v>
      </c>
      <c r="AG47">
        <v>6.27</v>
      </c>
      <c r="AH47">
        <v>24.9</v>
      </c>
      <c r="AI47">
        <f t="shared" si="2"/>
        <v>14.983757575757572</v>
      </c>
      <c r="AJ47">
        <f t="shared" si="3"/>
        <v>2.0707900481606485</v>
      </c>
    </row>
    <row r="48" spans="1:36" x14ac:dyDescent="0.25">
      <c r="A48" s="1">
        <v>45406.958333333336</v>
      </c>
      <c r="B48">
        <v>18</v>
      </c>
      <c r="C48">
        <v>10.9</v>
      </c>
      <c r="D48">
        <v>15.5</v>
      </c>
      <c r="E48">
        <v>4.59</v>
      </c>
      <c r="F48">
        <v>14.7</v>
      </c>
      <c r="G48">
        <v>26.9</v>
      </c>
      <c r="H48">
        <v>16.7</v>
      </c>
      <c r="I48">
        <v>12.3</v>
      </c>
      <c r="J48">
        <v>27</v>
      </c>
      <c r="K48">
        <v>5.47</v>
      </c>
      <c r="L48">
        <v>8.15</v>
      </c>
      <c r="M48">
        <v>20</v>
      </c>
      <c r="N48">
        <v>26.2</v>
      </c>
      <c r="O48">
        <v>10.7</v>
      </c>
      <c r="P48">
        <v>0.36799999999999999</v>
      </c>
      <c r="Q48">
        <v>9.06</v>
      </c>
      <c r="R48">
        <v>18.600000000000001</v>
      </c>
      <c r="S48">
        <v>4.18</v>
      </c>
      <c r="T48">
        <v>24.6</v>
      </c>
      <c r="U48">
        <v>36.299999999999997</v>
      </c>
      <c r="V48">
        <v>13.6</v>
      </c>
      <c r="W48">
        <v>34.6</v>
      </c>
      <c r="X48">
        <v>0.97699999999999998</v>
      </c>
      <c r="Y48">
        <v>20.399999999999999</v>
      </c>
      <c r="Z48">
        <v>7.4</v>
      </c>
      <c r="AA48">
        <v>38.1</v>
      </c>
      <c r="AB48">
        <v>21.6</v>
      </c>
      <c r="AC48">
        <v>15.5</v>
      </c>
      <c r="AD48">
        <v>9.57</v>
      </c>
      <c r="AE48">
        <v>27.6</v>
      </c>
      <c r="AF48">
        <v>5.15</v>
      </c>
      <c r="AG48">
        <v>21.2</v>
      </c>
      <c r="AH48">
        <v>13.6</v>
      </c>
      <c r="AI48">
        <f t="shared" si="2"/>
        <v>16.348939393939396</v>
      </c>
      <c r="AJ48">
        <f t="shared" si="3"/>
        <v>1.7339542564674464</v>
      </c>
    </row>
    <row r="49" spans="1:36" x14ac:dyDescent="0.25">
      <c r="A49" s="1">
        <v>45407</v>
      </c>
      <c r="B49">
        <v>7.49</v>
      </c>
      <c r="C49">
        <v>25.3</v>
      </c>
      <c r="D49">
        <v>19.600000000000001</v>
      </c>
      <c r="E49">
        <v>1.42</v>
      </c>
      <c r="F49">
        <v>12.7</v>
      </c>
      <c r="G49">
        <v>12.5</v>
      </c>
      <c r="H49">
        <v>9.6999999999999993</v>
      </c>
      <c r="I49">
        <v>15.1</v>
      </c>
      <c r="J49">
        <v>4.0500000000000001E-2</v>
      </c>
      <c r="K49">
        <v>25.3</v>
      </c>
      <c r="L49">
        <v>7.6</v>
      </c>
      <c r="M49">
        <v>8.67</v>
      </c>
      <c r="N49">
        <v>24</v>
      </c>
      <c r="O49">
        <v>47</v>
      </c>
      <c r="P49">
        <v>1.28</v>
      </c>
      <c r="Q49">
        <v>21.3</v>
      </c>
      <c r="R49">
        <v>24.6</v>
      </c>
      <c r="S49">
        <v>0.80400000000000005</v>
      </c>
      <c r="T49">
        <v>4.8899999999999997</v>
      </c>
      <c r="U49">
        <v>10.9</v>
      </c>
      <c r="V49">
        <v>2.88</v>
      </c>
      <c r="W49">
        <v>33.299999999999997</v>
      </c>
      <c r="X49">
        <v>15.8</v>
      </c>
      <c r="Y49">
        <v>5.26</v>
      </c>
      <c r="Z49">
        <v>19.899999999999999</v>
      </c>
      <c r="AA49">
        <v>7.09</v>
      </c>
      <c r="AB49">
        <v>4.16</v>
      </c>
      <c r="AC49">
        <v>1.46</v>
      </c>
      <c r="AD49">
        <v>17.8</v>
      </c>
      <c r="AE49">
        <v>14.7</v>
      </c>
      <c r="AF49">
        <v>23.8</v>
      </c>
      <c r="AG49">
        <v>1.85</v>
      </c>
      <c r="AH49">
        <v>4.62</v>
      </c>
      <c r="AI49">
        <f t="shared" si="2"/>
        <v>13.115590909090908</v>
      </c>
      <c r="AJ49">
        <f t="shared" si="3"/>
        <v>1.8948720260236283</v>
      </c>
    </row>
    <row r="50" spans="1:36" x14ac:dyDescent="0.25">
      <c r="A50" s="1">
        <v>45407.041666666664</v>
      </c>
      <c r="B50">
        <v>11.5</v>
      </c>
      <c r="C50">
        <v>4.78</v>
      </c>
      <c r="D50">
        <v>23</v>
      </c>
      <c r="E50">
        <v>29.7</v>
      </c>
      <c r="F50">
        <v>5.33</v>
      </c>
      <c r="G50">
        <v>36.6</v>
      </c>
      <c r="H50">
        <v>8.41</v>
      </c>
      <c r="I50">
        <v>16.7</v>
      </c>
      <c r="J50">
        <v>15.3</v>
      </c>
      <c r="K50">
        <v>4.3499999999999996</v>
      </c>
      <c r="L50">
        <v>1.02</v>
      </c>
      <c r="M50">
        <v>13.7</v>
      </c>
      <c r="N50">
        <v>2.21</v>
      </c>
      <c r="O50">
        <v>9.02</v>
      </c>
      <c r="P50">
        <v>30.1</v>
      </c>
      <c r="Q50">
        <v>17.899999999999999</v>
      </c>
      <c r="R50">
        <v>2.4400000000000002E-2</v>
      </c>
      <c r="S50">
        <v>22.8</v>
      </c>
      <c r="T50">
        <v>13.3</v>
      </c>
      <c r="U50">
        <v>7.83</v>
      </c>
      <c r="V50">
        <v>20.5</v>
      </c>
      <c r="W50">
        <v>29.9</v>
      </c>
      <c r="X50">
        <v>24.8</v>
      </c>
      <c r="Y50">
        <v>4.5599999999999996</v>
      </c>
      <c r="Z50">
        <v>33.700000000000003</v>
      </c>
      <c r="AA50">
        <v>2.93</v>
      </c>
      <c r="AB50">
        <v>18.399999999999999</v>
      </c>
      <c r="AC50">
        <v>5.78</v>
      </c>
      <c r="AD50">
        <v>25.9</v>
      </c>
      <c r="AE50">
        <v>1.58</v>
      </c>
      <c r="AF50">
        <v>21.8</v>
      </c>
      <c r="AG50">
        <v>25.5</v>
      </c>
      <c r="AH50">
        <v>6.27</v>
      </c>
      <c r="AI50">
        <f t="shared" si="2"/>
        <v>15.005890909090907</v>
      </c>
      <c r="AJ50">
        <f t="shared" si="3"/>
        <v>1.864194965521736</v>
      </c>
    </row>
    <row r="51" spans="1:36" x14ac:dyDescent="0.25">
      <c r="A51" s="1">
        <v>45407.083333333336</v>
      </c>
      <c r="B51">
        <v>34.1</v>
      </c>
      <c r="C51">
        <v>23.6</v>
      </c>
      <c r="D51">
        <v>3.91</v>
      </c>
      <c r="E51">
        <v>2.56</v>
      </c>
      <c r="F51">
        <v>22.9</v>
      </c>
      <c r="G51">
        <v>14.3</v>
      </c>
      <c r="H51">
        <v>29.5</v>
      </c>
      <c r="I51">
        <v>3.08</v>
      </c>
      <c r="J51">
        <v>34.6</v>
      </c>
      <c r="K51">
        <v>0.44600000000000001</v>
      </c>
      <c r="L51">
        <v>1.23</v>
      </c>
      <c r="M51">
        <v>2.46</v>
      </c>
      <c r="N51">
        <v>11.2</v>
      </c>
      <c r="O51">
        <v>1.99</v>
      </c>
      <c r="P51">
        <v>0.98399999999999999</v>
      </c>
      <c r="Q51">
        <v>21.2</v>
      </c>
      <c r="R51">
        <v>14.3</v>
      </c>
      <c r="S51">
        <v>7.85</v>
      </c>
      <c r="T51">
        <v>32.6</v>
      </c>
      <c r="U51">
        <v>1.99</v>
      </c>
      <c r="V51">
        <v>13.2</v>
      </c>
      <c r="W51">
        <v>11</v>
      </c>
      <c r="X51">
        <v>33.299999999999997</v>
      </c>
      <c r="Y51">
        <v>4.3499999999999996</v>
      </c>
      <c r="Z51">
        <v>7.68</v>
      </c>
      <c r="AA51">
        <v>36.9</v>
      </c>
      <c r="AB51">
        <v>3.22</v>
      </c>
      <c r="AC51">
        <v>33.9</v>
      </c>
      <c r="AD51">
        <v>2.68</v>
      </c>
      <c r="AE51">
        <v>0.84</v>
      </c>
      <c r="AF51">
        <v>9.89</v>
      </c>
      <c r="AG51">
        <v>8.66</v>
      </c>
      <c r="AH51">
        <v>23.2</v>
      </c>
      <c r="AI51">
        <f t="shared" si="2"/>
        <v>13.746060606060606</v>
      </c>
      <c r="AJ51">
        <f t="shared" si="3"/>
        <v>2.1660437901027731</v>
      </c>
    </row>
    <row r="52" spans="1:36" x14ac:dyDescent="0.25">
      <c r="A52" s="1">
        <v>45407.125</v>
      </c>
      <c r="B52">
        <v>5.88</v>
      </c>
      <c r="C52">
        <v>13.3</v>
      </c>
      <c r="D52">
        <v>1.68</v>
      </c>
      <c r="E52">
        <v>12.2</v>
      </c>
      <c r="F52">
        <v>6.73</v>
      </c>
      <c r="G52">
        <v>16.7</v>
      </c>
      <c r="H52">
        <v>17</v>
      </c>
      <c r="I52">
        <v>14.2</v>
      </c>
      <c r="J52">
        <v>5.87</v>
      </c>
      <c r="K52">
        <v>16.8</v>
      </c>
      <c r="L52">
        <v>2</v>
      </c>
      <c r="M52">
        <v>1.93</v>
      </c>
      <c r="N52">
        <v>26.4</v>
      </c>
      <c r="O52">
        <v>4.6899999999999997E-2</v>
      </c>
      <c r="P52">
        <v>1.1499999999999999</v>
      </c>
      <c r="Q52">
        <v>6.51</v>
      </c>
      <c r="R52">
        <v>31.7</v>
      </c>
      <c r="S52">
        <v>25.5</v>
      </c>
      <c r="T52">
        <v>3.12</v>
      </c>
      <c r="U52">
        <v>1.58</v>
      </c>
      <c r="V52">
        <v>5.25</v>
      </c>
      <c r="W52">
        <v>1.0900000000000001</v>
      </c>
      <c r="X52">
        <v>0.871</v>
      </c>
      <c r="Y52">
        <v>37.299999999999997</v>
      </c>
      <c r="Z52">
        <v>26.3</v>
      </c>
      <c r="AA52">
        <v>2.87</v>
      </c>
      <c r="AB52">
        <v>8.94</v>
      </c>
      <c r="AC52">
        <v>12.4</v>
      </c>
      <c r="AD52">
        <v>0.15</v>
      </c>
      <c r="AE52">
        <v>0.86099999999999999</v>
      </c>
      <c r="AF52">
        <v>21</v>
      </c>
      <c r="AG52">
        <v>8.44</v>
      </c>
      <c r="AH52">
        <v>4.03</v>
      </c>
      <c r="AI52">
        <f t="shared" si="2"/>
        <v>10.296936363636362</v>
      </c>
      <c r="AJ52">
        <f t="shared" si="3"/>
        <v>1.7664721283354434</v>
      </c>
    </row>
    <row r="53" spans="1:36" x14ac:dyDescent="0.25">
      <c r="A53" s="1">
        <v>45407.166666666664</v>
      </c>
      <c r="B53">
        <v>4.46</v>
      </c>
      <c r="C53">
        <v>7</v>
      </c>
      <c r="D53">
        <v>1.2</v>
      </c>
      <c r="E53">
        <v>12.3</v>
      </c>
      <c r="F53">
        <v>3.23</v>
      </c>
      <c r="G53">
        <v>0.33500000000000002</v>
      </c>
      <c r="H53">
        <v>4.72</v>
      </c>
      <c r="I53">
        <v>3.77</v>
      </c>
      <c r="J53">
        <v>0.80200000000000005</v>
      </c>
      <c r="K53">
        <v>28.2</v>
      </c>
      <c r="L53">
        <v>16</v>
      </c>
      <c r="M53">
        <v>3.98</v>
      </c>
      <c r="N53">
        <v>18.2</v>
      </c>
      <c r="O53">
        <v>34.6</v>
      </c>
      <c r="P53">
        <v>3.09</v>
      </c>
      <c r="Q53">
        <v>11.8</v>
      </c>
      <c r="R53">
        <v>5.41</v>
      </c>
      <c r="S53">
        <v>3.01</v>
      </c>
      <c r="T53">
        <v>1.56</v>
      </c>
      <c r="U53">
        <v>30.4</v>
      </c>
      <c r="V53">
        <v>4.05</v>
      </c>
      <c r="W53">
        <v>8.9499999999999993</v>
      </c>
      <c r="X53">
        <v>18.5</v>
      </c>
      <c r="Y53">
        <v>19.600000000000001</v>
      </c>
      <c r="Z53">
        <v>18.399999999999999</v>
      </c>
      <c r="AA53">
        <v>37.4</v>
      </c>
      <c r="AB53">
        <v>12.8</v>
      </c>
      <c r="AC53">
        <v>18.600000000000001</v>
      </c>
      <c r="AD53">
        <v>42.8</v>
      </c>
      <c r="AE53">
        <v>6.53</v>
      </c>
      <c r="AF53">
        <v>21.5</v>
      </c>
      <c r="AG53">
        <v>32.1</v>
      </c>
      <c r="AH53">
        <v>3.38</v>
      </c>
      <c r="AI53">
        <f t="shared" si="2"/>
        <v>13.293242424242425</v>
      </c>
      <c r="AJ53">
        <f t="shared" si="3"/>
        <v>2.0861311793379334</v>
      </c>
    </row>
    <row r="54" spans="1:36" x14ac:dyDescent="0.25">
      <c r="A54" s="1">
        <v>45407.208333333336</v>
      </c>
      <c r="B54">
        <v>21.6</v>
      </c>
      <c r="C54">
        <v>27.2</v>
      </c>
      <c r="D54">
        <v>0.66200000000000003</v>
      </c>
      <c r="E54">
        <v>4.46</v>
      </c>
      <c r="F54">
        <v>28.2</v>
      </c>
      <c r="G54">
        <v>29</v>
      </c>
      <c r="H54">
        <v>2.36</v>
      </c>
      <c r="I54">
        <v>12.3</v>
      </c>
      <c r="J54">
        <v>0.53200000000000003</v>
      </c>
      <c r="K54">
        <v>2.4400000000000002E-2</v>
      </c>
      <c r="L54">
        <v>38.9</v>
      </c>
      <c r="M54">
        <v>4.1399999999999997</v>
      </c>
      <c r="N54">
        <v>0.307</v>
      </c>
      <c r="O54">
        <v>17.100000000000001</v>
      </c>
      <c r="P54">
        <v>27.7</v>
      </c>
      <c r="Q54">
        <v>0.71399999999999997</v>
      </c>
      <c r="R54">
        <v>7.3200000000000001E-2</v>
      </c>
      <c r="S54">
        <v>1.1100000000000001</v>
      </c>
      <c r="T54">
        <v>8.25</v>
      </c>
      <c r="U54">
        <v>6.3</v>
      </c>
      <c r="V54">
        <v>16</v>
      </c>
      <c r="W54">
        <v>16.600000000000001</v>
      </c>
      <c r="X54">
        <v>33.200000000000003</v>
      </c>
      <c r="Y54">
        <v>3.56</v>
      </c>
      <c r="Z54">
        <v>7.7</v>
      </c>
      <c r="AA54">
        <v>9.51</v>
      </c>
      <c r="AB54">
        <v>4.09</v>
      </c>
      <c r="AC54">
        <v>34.5</v>
      </c>
      <c r="AD54">
        <v>18.100000000000001</v>
      </c>
      <c r="AE54">
        <v>33.799999999999997</v>
      </c>
      <c r="AF54">
        <v>21.6</v>
      </c>
      <c r="AG54">
        <v>6.9</v>
      </c>
      <c r="AH54">
        <v>12.6</v>
      </c>
      <c r="AI54">
        <f t="shared" si="2"/>
        <v>13.608866666666668</v>
      </c>
      <c r="AJ54">
        <f t="shared" si="3"/>
        <v>2.1218285496574452</v>
      </c>
    </row>
    <row r="55" spans="1:36" x14ac:dyDescent="0.25">
      <c r="A55" s="1">
        <v>45407.25</v>
      </c>
      <c r="B55">
        <v>22.4</v>
      </c>
      <c r="C55">
        <v>1.63</v>
      </c>
      <c r="D55">
        <v>33</v>
      </c>
      <c r="E55">
        <v>24.1</v>
      </c>
      <c r="F55">
        <v>5.01</v>
      </c>
      <c r="G55">
        <v>2.5099999999999998</v>
      </c>
      <c r="H55">
        <v>3.09</v>
      </c>
      <c r="I55">
        <v>16.7</v>
      </c>
      <c r="J55">
        <v>25.2</v>
      </c>
      <c r="K55">
        <v>30</v>
      </c>
      <c r="L55">
        <v>22.6</v>
      </c>
      <c r="M55">
        <v>33.299999999999997</v>
      </c>
      <c r="N55">
        <v>8.2200000000000006</v>
      </c>
      <c r="O55">
        <v>1.29</v>
      </c>
      <c r="P55">
        <v>0.40699999999999997</v>
      </c>
      <c r="Q55">
        <v>3.92</v>
      </c>
      <c r="R55">
        <v>13.1</v>
      </c>
      <c r="S55">
        <v>18.8</v>
      </c>
      <c r="T55">
        <v>33.1</v>
      </c>
      <c r="U55">
        <v>8.5500000000000007</v>
      </c>
      <c r="V55">
        <v>16.5</v>
      </c>
      <c r="W55">
        <v>13.5</v>
      </c>
      <c r="X55">
        <v>7</v>
      </c>
      <c r="Y55">
        <v>11.1</v>
      </c>
      <c r="Z55">
        <v>2.09</v>
      </c>
      <c r="AA55">
        <v>23.6</v>
      </c>
      <c r="AB55">
        <v>9.7100000000000009</v>
      </c>
      <c r="AC55">
        <v>35.9</v>
      </c>
      <c r="AD55">
        <v>2.4400000000000002E-2</v>
      </c>
      <c r="AE55">
        <v>7.48</v>
      </c>
      <c r="AF55">
        <v>3.91</v>
      </c>
      <c r="AG55">
        <v>9.9700000000000006</v>
      </c>
      <c r="AH55">
        <v>8.8800000000000008</v>
      </c>
      <c r="AI55">
        <f t="shared" si="2"/>
        <v>13.836103030303033</v>
      </c>
      <c r="AJ55">
        <f t="shared" si="3"/>
        <v>1.9292562134486935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CTRL_MET</vt:lpstr>
      <vt:lpstr>CTRL_VEH</vt:lpstr>
      <vt:lpstr>SNI_MET</vt:lpstr>
      <vt:lpstr>SNI_VEH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Yu-Hsuan</dc:creator>
  <cp:lastModifiedBy>meaghan creed</cp:lastModifiedBy>
  <dcterms:created xsi:type="dcterms:W3CDTF">2024-05-31T18:49:09Z</dcterms:created>
  <dcterms:modified xsi:type="dcterms:W3CDTF">2025-01-28T17:45:11Z</dcterms:modified>
</cp:coreProperties>
</file>