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eagh\Box\CreedLabBoxDrive\Dopamine_Pain_Project\Behavior\VonFrey\Longitudinal Sham testing\"/>
    </mc:Choice>
  </mc:AlternateContent>
  <xr:revisionPtr revIDLastSave="0" documentId="8_{B5B91005-BF18-48DD-A1E4-29A883FFC142}" xr6:coauthVersionLast="47" xr6:coauthVersionMax="47" xr10:uidLastSave="{00000000-0000-0000-0000-000000000000}"/>
  <bookViews>
    <workbookView xWindow="-120" yWindow="-120" windowWidth="29040" windowHeight="15720" activeTab="1" xr2:uid="{817F9769-E673-450A-9473-2E721D3EC239}"/>
  </bookViews>
  <sheets>
    <sheet name="Sheet1" sheetId="1" r:id="rId1"/>
    <sheet name="FormatForAnalysis" sheetId="4" r:id="rId2"/>
    <sheet name="FormatForPython" sheetId="2" r:id="rId3"/>
    <sheet name="SubjectInf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8" i="4" l="1"/>
  <c r="BN7" i="4"/>
  <c r="BN6" i="4"/>
  <c r="BN5" i="4"/>
  <c r="BN4" i="4"/>
  <c r="BN3" i="4"/>
  <c r="BM8" i="4"/>
  <c r="BM7" i="4"/>
  <c r="BM6" i="4"/>
  <c r="BM5" i="4"/>
  <c r="BM4" i="4"/>
  <c r="BM3" i="4"/>
  <c r="BN2" i="4"/>
  <c r="BL8" i="4"/>
  <c r="BL7" i="4"/>
  <c r="BL6" i="4"/>
  <c r="BL5" i="4"/>
  <c r="BL4" i="4"/>
  <c r="BL3" i="4"/>
  <c r="BL2" i="4"/>
  <c r="BK8" i="4"/>
  <c r="BK7" i="4"/>
  <c r="BK6" i="4"/>
  <c r="BK5" i="4"/>
  <c r="BK4" i="4"/>
  <c r="BK3" i="4"/>
  <c r="BM2" i="4"/>
  <c r="BK2" i="4"/>
  <c r="AY50" i="4"/>
  <c r="AK50" i="4"/>
  <c r="AJ50" i="4"/>
  <c r="BE50" i="4" s="1"/>
  <c r="AI50" i="4"/>
  <c r="AH50" i="4"/>
  <c r="AG50" i="4"/>
  <c r="AF50" i="4"/>
  <c r="AE50" i="4"/>
  <c r="AD50" i="4"/>
  <c r="AC50" i="4"/>
  <c r="AB50" i="4"/>
  <c r="BA50" i="4" s="1"/>
  <c r="AA50" i="4"/>
  <c r="Z50" i="4"/>
  <c r="AZ50" i="4" s="1"/>
  <c r="Y50" i="4"/>
  <c r="X50" i="4"/>
  <c r="U50" i="4"/>
  <c r="T50" i="4"/>
  <c r="S50" i="4"/>
  <c r="R50" i="4"/>
  <c r="Q50" i="4"/>
  <c r="P50" i="4"/>
  <c r="O50" i="4"/>
  <c r="N50" i="4"/>
  <c r="M50" i="4"/>
  <c r="L50" i="4"/>
  <c r="K50" i="4"/>
  <c r="J50" i="4"/>
  <c r="AR50" i="4" s="1"/>
  <c r="I50" i="4"/>
  <c r="H50" i="4"/>
  <c r="G50" i="4"/>
  <c r="F50" i="4"/>
  <c r="E50" i="4"/>
  <c r="D50" i="4"/>
  <c r="C50" i="4"/>
  <c r="B50" i="4"/>
  <c r="AQ50" i="4"/>
  <c r="BE42" i="4"/>
  <c r="BD42" i="4"/>
  <c r="BC42" i="4"/>
  <c r="BB42" i="4"/>
  <c r="BA42" i="4"/>
  <c r="AZ42" i="4"/>
  <c r="AY42" i="4"/>
  <c r="AW42" i="4"/>
  <c r="AV42" i="4"/>
  <c r="AU42" i="4"/>
  <c r="AT42" i="4"/>
  <c r="AS42" i="4"/>
  <c r="AR42" i="4"/>
  <c r="AQ42" i="4"/>
  <c r="AP42" i="4"/>
  <c r="AO42" i="4"/>
  <c r="BH42" i="4" s="1"/>
  <c r="AN42" i="4"/>
  <c r="BG42" i="4" s="1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BE34" i="4"/>
  <c r="BD34" i="4"/>
  <c r="BC34" i="4"/>
  <c r="BB34" i="4"/>
  <c r="BA34" i="4"/>
  <c r="AZ34" i="4"/>
  <c r="AY34" i="4"/>
  <c r="AW34" i="4"/>
  <c r="AV34" i="4"/>
  <c r="AU34" i="4"/>
  <c r="AT34" i="4"/>
  <c r="AS34" i="4"/>
  <c r="AR34" i="4"/>
  <c r="AQ34" i="4"/>
  <c r="AP34" i="4"/>
  <c r="BH34" i="4" s="1"/>
  <c r="AO34" i="4"/>
  <c r="AN34" i="4"/>
  <c r="BG34" i="4" s="1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BE26" i="4"/>
  <c r="BD26" i="4"/>
  <c r="BC26" i="4"/>
  <c r="AZ26" i="4"/>
  <c r="AY26" i="4"/>
  <c r="AW26" i="4"/>
  <c r="AV26" i="4"/>
  <c r="AU26" i="4"/>
  <c r="AT26" i="4"/>
  <c r="AS26" i="4"/>
  <c r="AR26" i="4"/>
  <c r="AQ26" i="4"/>
  <c r="AP26" i="4"/>
  <c r="AO26" i="4"/>
  <c r="AN26" i="4"/>
  <c r="AK26" i="4"/>
  <c r="AJ26" i="4"/>
  <c r="AI26" i="4"/>
  <c r="AH26" i="4"/>
  <c r="AG26" i="4"/>
  <c r="AF26" i="4"/>
  <c r="AE26" i="4"/>
  <c r="AD26" i="4"/>
  <c r="BB26" i="4" s="1"/>
  <c r="AC26" i="4"/>
  <c r="AB26" i="4"/>
  <c r="BA26" i="4" s="1"/>
  <c r="AA26" i="4"/>
  <c r="Z26" i="4"/>
  <c r="Y26" i="4"/>
  <c r="X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BE18" i="4"/>
  <c r="BD18" i="4"/>
  <c r="BC18" i="4"/>
  <c r="BB18" i="4"/>
  <c r="BA18" i="4"/>
  <c r="AZ18" i="4"/>
  <c r="AY18" i="4"/>
  <c r="AW18" i="4"/>
  <c r="AV18" i="4"/>
  <c r="AU18" i="4"/>
  <c r="AT18" i="4"/>
  <c r="BG18" i="4" s="1"/>
  <c r="AS18" i="4"/>
  <c r="AR18" i="4"/>
  <c r="AQ18" i="4"/>
  <c r="AP18" i="4"/>
  <c r="AO18" i="4"/>
  <c r="AN18" i="4"/>
  <c r="BH18" i="4" s="1"/>
  <c r="B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H10" i="4"/>
  <c r="BE10" i="4"/>
  <c r="BD10" i="4"/>
  <c r="BC10" i="4"/>
  <c r="BB10" i="4"/>
  <c r="BA10" i="4"/>
  <c r="AZ10" i="4"/>
  <c r="AY10" i="4"/>
  <c r="AW10" i="4"/>
  <c r="AV10" i="4"/>
  <c r="AU10" i="4"/>
  <c r="AT10" i="4"/>
  <c r="AS10" i="4"/>
  <c r="AR10" i="4"/>
  <c r="BG10" i="4" s="1"/>
  <c r="AQ10" i="4"/>
  <c r="AP10" i="4"/>
  <c r="AO10" i="4"/>
  <c r="AN10" i="4"/>
  <c r="F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E10" i="4"/>
  <c r="D10" i="4"/>
  <c r="C10" i="4"/>
  <c r="B10" i="4"/>
  <c r="BH2" i="4"/>
  <c r="BG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B2" i="4"/>
  <c r="AN50" i="4" l="1"/>
  <c r="AO50" i="4"/>
  <c r="AP50" i="4"/>
  <c r="AS50" i="4"/>
  <c r="AT50" i="4"/>
  <c r="AU50" i="4"/>
  <c r="AV50" i="4"/>
  <c r="AW50" i="4"/>
  <c r="BB50" i="4"/>
  <c r="BC50" i="4"/>
  <c r="BD50" i="4"/>
  <c r="BH26" i="4"/>
  <c r="BG26" i="4"/>
  <c r="BH50" i="4" l="1"/>
  <c r="BG50" i="4"/>
</calcChain>
</file>

<file path=xl/sharedStrings.xml><?xml version="1.0" encoding="utf-8"?>
<sst xmlns="http://schemas.openxmlformats.org/spreadsheetml/2006/main" count="1582" uniqueCount="45">
  <si>
    <t>TR1</t>
  </si>
  <si>
    <t>TR2</t>
  </si>
  <si>
    <t>TR3</t>
  </si>
  <si>
    <t>TR4</t>
  </si>
  <si>
    <t>TR5</t>
  </si>
  <si>
    <t>L</t>
  </si>
  <si>
    <t>R</t>
  </si>
  <si>
    <t>M185</t>
  </si>
  <si>
    <t>M186</t>
  </si>
  <si>
    <t>M187</t>
  </si>
  <si>
    <t>M285</t>
  </si>
  <si>
    <t>M286</t>
  </si>
  <si>
    <t>M287</t>
  </si>
  <si>
    <t>M193</t>
  </si>
  <si>
    <t>M195</t>
  </si>
  <si>
    <t>M196</t>
  </si>
  <si>
    <t>M197</t>
  </si>
  <si>
    <t>F200</t>
  </si>
  <si>
    <t>F201</t>
  </si>
  <si>
    <t>F198</t>
  </si>
  <si>
    <t>F199</t>
  </si>
  <si>
    <t>F202</t>
  </si>
  <si>
    <t>F189</t>
  </si>
  <si>
    <t>No ear hole</t>
  </si>
  <si>
    <t>Ear hole</t>
  </si>
  <si>
    <t>Mouse Number</t>
  </si>
  <si>
    <t>Sex</t>
  </si>
  <si>
    <t>Injury date</t>
  </si>
  <si>
    <t>Injury condition</t>
  </si>
  <si>
    <t>M</t>
  </si>
  <si>
    <t>F</t>
  </si>
  <si>
    <t>Sham</t>
  </si>
  <si>
    <t>MouseID</t>
  </si>
  <si>
    <t>Mouse</t>
  </si>
  <si>
    <t>RatioBL1</t>
  </si>
  <si>
    <t>RatioBL2</t>
  </si>
  <si>
    <t>RatioPost1</t>
  </si>
  <si>
    <t>RatioPost2</t>
  </si>
  <si>
    <t>RatioPost3</t>
  </si>
  <si>
    <t>RatioPost4</t>
  </si>
  <si>
    <t>RatioPost5</t>
  </si>
  <si>
    <t>Mean</t>
  </si>
  <si>
    <t>SEM</t>
  </si>
  <si>
    <t>SEM_M</t>
  </si>
  <si>
    <t>SEM_F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</si>
</sst>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FormatForAnalysis!$BG$1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FormatForAnalysis!$BF$2:$BF$50</c:f>
              <c:numCache>
                <c:formatCode>General</c:formatCode>
                <c:ptCount val="49"/>
                <c:pt idx="0">
                  <c:v>1</c:v>
                </c:pt>
                <c:pt idx="8">
                  <c:v>2</c:v>
                </c:pt>
                <c:pt idx="16">
                  <c:v>3</c:v>
                </c:pt>
                <c:pt idx="24">
                  <c:v>4</c:v>
                </c:pt>
                <c:pt idx="32">
                  <c:v>5</c:v>
                </c:pt>
                <c:pt idx="40">
                  <c:v>6</c:v>
                </c:pt>
                <c:pt idx="48">
                  <c:v>7</c:v>
                </c:pt>
              </c:numCache>
            </c:numRef>
          </c:cat>
          <c:val>
            <c:numRef>
              <c:f>FormatForAnalysis!$BG$2:$BG$50</c:f>
              <c:numCache>
                <c:formatCode>General</c:formatCode>
                <c:ptCount val="49"/>
                <c:pt idx="0">
                  <c:v>1.023435819506973</c:v>
                </c:pt>
                <c:pt idx="8">
                  <c:v>0.99025528758618342</c:v>
                </c:pt>
                <c:pt idx="16">
                  <c:v>0.99626191327056923</c:v>
                </c:pt>
                <c:pt idx="24">
                  <c:v>1.0634856558939738</c:v>
                </c:pt>
                <c:pt idx="32">
                  <c:v>1.0985398219527731</c:v>
                </c:pt>
                <c:pt idx="40">
                  <c:v>1.0619578989525547</c:v>
                </c:pt>
                <c:pt idx="48">
                  <c:v>0.96561941724608047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D-4EE9-B951-FE897CF90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974992"/>
        <c:axId val="299982672"/>
      </c:lineChart>
      <c:catAx>
        <c:axId val="2999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82672"/>
        <c:crosses val="autoZero"/>
        <c:auto val="1"/>
        <c:lblAlgn val="ctr"/>
        <c:lblOffset val="100"/>
        <c:noMultiLvlLbl val="0"/>
      </c:catAx>
      <c:valAx>
        <c:axId val="299982672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7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FormatForAnalysis!$BK$1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Ref>
                <c:f>FormatForAnalysis!$BN$2:$BN$8</c:f>
                <c:numCache>
                  <c:formatCode>General</c:formatCode>
                  <c:ptCount val="7"/>
                  <c:pt idx="0">
                    <c:v>9.6871008250688312E-2</c:v>
                  </c:pt>
                  <c:pt idx="1">
                    <c:v>8.3776042192765229E-2</c:v>
                  </c:pt>
                  <c:pt idx="2">
                    <c:v>9.0894680822754953E-2</c:v>
                  </c:pt>
                  <c:pt idx="3">
                    <c:v>6.7109826740565481E-2</c:v>
                  </c:pt>
                  <c:pt idx="4">
                    <c:v>0.15734348771315476</c:v>
                  </c:pt>
                  <c:pt idx="5">
                    <c:v>0.14257403429370974</c:v>
                  </c:pt>
                  <c:pt idx="6">
                    <c:v>9.3707437950719508E-2</c:v>
                  </c:pt>
                </c:numCache>
              </c:numRef>
            </c:plus>
            <c:minus>
              <c:numRef>
                <c:f>FormatForAnalysis!$BN$2:$BN$8</c:f>
                <c:numCache>
                  <c:formatCode>General</c:formatCode>
                  <c:ptCount val="7"/>
                  <c:pt idx="0">
                    <c:v>9.6871008250688312E-2</c:v>
                  </c:pt>
                  <c:pt idx="1">
                    <c:v>8.3776042192765229E-2</c:v>
                  </c:pt>
                  <c:pt idx="2">
                    <c:v>9.0894680822754953E-2</c:v>
                  </c:pt>
                  <c:pt idx="3">
                    <c:v>6.7109826740565481E-2</c:v>
                  </c:pt>
                  <c:pt idx="4">
                    <c:v>0.15734348771315476</c:v>
                  </c:pt>
                  <c:pt idx="5">
                    <c:v>0.14257403429370974</c:v>
                  </c:pt>
                  <c:pt idx="6">
                    <c:v>9.3707437950719508E-2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FormatForAnalysis!$BJ$2:$BJ$8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FormatForAnalysis!$BK$2:$BK$8</c:f>
              <c:numCache>
                <c:formatCode>General</c:formatCode>
                <c:ptCount val="7"/>
                <c:pt idx="0">
                  <c:v>1.0108458085909047</c:v>
                </c:pt>
                <c:pt idx="1">
                  <c:v>0.981429529042952</c:v>
                </c:pt>
                <c:pt idx="2">
                  <c:v>0.99444274018250245</c:v>
                </c:pt>
                <c:pt idx="3">
                  <c:v>1.0468085330165322</c:v>
                </c:pt>
                <c:pt idx="4">
                  <c:v>1.0884744386259022</c:v>
                </c:pt>
                <c:pt idx="5">
                  <c:v>0.96710924267912135</c:v>
                </c:pt>
                <c:pt idx="6">
                  <c:v>0.9746322316670053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1-4662-B2F3-2633F50BECF7}"/>
            </c:ext>
          </c:extLst>
        </c:ser>
        <c:ser>
          <c:idx val="1"/>
          <c:order val="1"/>
          <c:tx>
            <c:strRef>
              <c:f>FormatForAnalysis!$BL$1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Ref>
                <c:f>FormatForAnalysis!$BM$2:$BM$8</c:f>
                <c:numCache>
                  <c:formatCode>General</c:formatCode>
                  <c:ptCount val="7"/>
                  <c:pt idx="0">
                    <c:v>4.191453921770625E-2</c:v>
                  </c:pt>
                  <c:pt idx="1">
                    <c:v>7.8107779472221459E-2</c:v>
                  </c:pt>
                  <c:pt idx="2">
                    <c:v>9.5812599719637639E-2</c:v>
                  </c:pt>
                  <c:pt idx="3">
                    <c:v>8.2611550617934848E-2</c:v>
                  </c:pt>
                  <c:pt idx="4">
                    <c:v>0.11947015570242842</c:v>
                  </c:pt>
                  <c:pt idx="5">
                    <c:v>8.1777271926705766E-2</c:v>
                  </c:pt>
                  <c:pt idx="6">
                    <c:v>0.10590366939344541</c:v>
                  </c:pt>
                </c:numCache>
              </c:numRef>
            </c:plus>
            <c:minus>
              <c:numRef>
                <c:f>FormatForAnalysis!$BM$2:$BM$8</c:f>
                <c:numCache>
                  <c:formatCode>General</c:formatCode>
                  <c:ptCount val="7"/>
                  <c:pt idx="0">
                    <c:v>4.191453921770625E-2</c:v>
                  </c:pt>
                  <c:pt idx="1">
                    <c:v>7.8107779472221459E-2</c:v>
                  </c:pt>
                  <c:pt idx="2">
                    <c:v>9.5812599719637639E-2</c:v>
                  </c:pt>
                  <c:pt idx="3">
                    <c:v>8.2611550617934848E-2</c:v>
                  </c:pt>
                  <c:pt idx="4">
                    <c:v>0.11947015570242842</c:v>
                  </c:pt>
                  <c:pt idx="5">
                    <c:v>8.1777271926705766E-2</c:v>
                  </c:pt>
                  <c:pt idx="6">
                    <c:v>0.10590366939344541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FormatForAnalysis!$BJ$2:$BJ$8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FormatForAnalysis!$BL$2:$BL$8</c:f>
              <c:numCache>
                <c:formatCode>General</c:formatCode>
                <c:ptCount val="7"/>
                <c:pt idx="0">
                  <c:v>1.0391733331520583</c:v>
                </c:pt>
                <c:pt idx="1">
                  <c:v>1.0028635140765136</c:v>
                </c:pt>
                <c:pt idx="2">
                  <c:v>0.99886073196780756</c:v>
                </c:pt>
                <c:pt idx="3">
                  <c:v>1.0873101171474617</c:v>
                </c:pt>
                <c:pt idx="4">
                  <c:v>1.11291894099116</c:v>
                </c:pt>
                <c:pt idx="5">
                  <c:v>1.1974559793431738</c:v>
                </c:pt>
                <c:pt idx="6">
                  <c:v>0.95274396807333039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F1-4662-B2F3-2633F50BE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997072"/>
        <c:axId val="299989392"/>
      </c:lineChart>
      <c:catAx>
        <c:axId val="2999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89392"/>
        <c:crosses val="autoZero"/>
        <c:auto val="1"/>
        <c:lblAlgn val="ctr"/>
        <c:lblOffset val="100"/>
        <c:noMultiLvlLbl val="0"/>
      </c:catAx>
      <c:valAx>
        <c:axId val="29998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402647</xdr:colOff>
      <xdr:row>59</xdr:row>
      <xdr:rowOff>178378</xdr:rowOff>
    </xdr:from>
    <xdr:to>
      <xdr:col>57</xdr:col>
      <xdr:colOff>76076</xdr:colOff>
      <xdr:row>74</xdr:row>
      <xdr:rowOff>64078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4408E-CDD2-1C34-B2F9-AE7289D3C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69272</xdr:colOff>
      <xdr:row>18</xdr:row>
      <xdr:rowOff>13855</xdr:rowOff>
    </xdr:from>
    <xdr:to>
      <xdr:col>71</xdr:col>
      <xdr:colOff>225136</xdr:colOff>
      <xdr:row>39</xdr:row>
      <xdr:rowOff>138545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8ECF92-A46B-8CCC-B037-5BDF60C2D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0683-DFC1-4851-9526-FEB8955A9233}">
  <sheetPr codeName="Sheet1"/>
  <dimension ref="A1:AK56"/>
  <sheetViews>
    <sheetView zoomScale="70" zoomScaleNormal="70" workbookViewId="0">
      <selection activeCell="A2" sqref="A2:XFD2"/>
    </sheetView>
  </sheetViews>
  <sheetFormatPr defaultRowHeight="15" x14ac:dyDescent="0.25"/>
  <cols>
    <col min="1" max="1" width="11.140625" bestFit="1" customWidth="1"/>
    <col min="2" max="2" width="9.140625" customWidth="1"/>
  </cols>
  <sheetData>
    <row r="1" spans="1:37" x14ac:dyDescent="0.25">
      <c r="A1" s="1">
        <v>45496</v>
      </c>
    </row>
    <row r="2" spans="1:37" x14ac:dyDescent="0.25">
      <c r="B2" t="s">
        <v>7</v>
      </c>
      <c r="D2" t="s">
        <v>8</v>
      </c>
      <c r="F2" t="s">
        <v>9</v>
      </c>
      <c r="H2" t="s">
        <v>10</v>
      </c>
      <c r="J2" t="s">
        <v>11</v>
      </c>
      <c r="L2" t="s">
        <v>12</v>
      </c>
      <c r="N2" t="s">
        <v>13</v>
      </c>
      <c r="P2" t="s">
        <v>14</v>
      </c>
      <c r="R2" t="s">
        <v>15</v>
      </c>
      <c r="T2" t="s">
        <v>16</v>
      </c>
      <c r="V2" t="s">
        <v>17</v>
      </c>
      <c r="X2" t="s">
        <v>18</v>
      </c>
      <c r="Z2" t="s">
        <v>19</v>
      </c>
      <c r="AB2" t="s">
        <v>20</v>
      </c>
      <c r="AD2" t="s">
        <v>21</v>
      </c>
      <c r="AF2" t="s">
        <v>22</v>
      </c>
      <c r="AH2" t="s">
        <v>23</v>
      </c>
      <c r="AJ2" t="s">
        <v>24</v>
      </c>
    </row>
    <row r="3" spans="1:37" x14ac:dyDescent="0.25"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  <c r="H3" t="s">
        <v>5</v>
      </c>
      <c r="I3" t="s">
        <v>6</v>
      </c>
      <c r="J3" t="s">
        <v>5</v>
      </c>
      <c r="K3" t="s">
        <v>6</v>
      </c>
      <c r="L3" t="s">
        <v>5</v>
      </c>
      <c r="M3" t="s">
        <v>6</v>
      </c>
      <c r="N3" t="s">
        <v>5</v>
      </c>
      <c r="O3" t="s">
        <v>6</v>
      </c>
      <c r="P3" t="s">
        <v>5</v>
      </c>
      <c r="Q3" t="s">
        <v>6</v>
      </c>
      <c r="R3" t="s">
        <v>5</v>
      </c>
      <c r="S3" t="s">
        <v>6</v>
      </c>
      <c r="T3" t="s">
        <v>5</v>
      </c>
      <c r="U3" t="s">
        <v>6</v>
      </c>
      <c r="V3" t="s">
        <v>5</v>
      </c>
      <c r="W3" t="s">
        <v>6</v>
      </c>
      <c r="X3" t="s">
        <v>5</v>
      </c>
      <c r="Y3" t="s">
        <v>6</v>
      </c>
      <c r="Z3" t="s">
        <v>5</v>
      </c>
      <c r="AA3" t="s">
        <v>6</v>
      </c>
      <c r="AB3" t="s">
        <v>5</v>
      </c>
      <c r="AC3" t="s">
        <v>6</v>
      </c>
      <c r="AD3" t="s">
        <v>5</v>
      </c>
      <c r="AE3" t="s">
        <v>6</v>
      </c>
      <c r="AF3" t="s">
        <v>5</v>
      </c>
      <c r="AG3" t="s">
        <v>6</v>
      </c>
      <c r="AH3" t="s">
        <v>5</v>
      </c>
      <c r="AI3" t="s">
        <v>6</v>
      </c>
      <c r="AJ3" t="s">
        <v>5</v>
      </c>
      <c r="AK3" t="s">
        <v>6</v>
      </c>
    </row>
    <row r="4" spans="1:37" x14ac:dyDescent="0.25">
      <c r="A4" t="s">
        <v>0</v>
      </c>
      <c r="B4">
        <v>6.85</v>
      </c>
      <c r="C4">
        <v>9.52</v>
      </c>
      <c r="D4">
        <v>6.75</v>
      </c>
      <c r="E4">
        <v>12.11</v>
      </c>
      <c r="F4">
        <v>6.76</v>
      </c>
      <c r="G4">
        <v>6.5</v>
      </c>
      <c r="H4">
        <v>7.57</v>
      </c>
      <c r="I4">
        <v>5.24</v>
      </c>
      <c r="J4">
        <v>8.68</v>
      </c>
      <c r="K4">
        <v>6.56</v>
      </c>
      <c r="L4">
        <v>6.82</v>
      </c>
      <c r="M4">
        <v>5.47</v>
      </c>
      <c r="N4">
        <v>7.82</v>
      </c>
      <c r="O4">
        <v>8.09</v>
      </c>
      <c r="P4">
        <v>7.81</v>
      </c>
      <c r="Q4">
        <v>11</v>
      </c>
      <c r="R4">
        <v>6.06</v>
      </c>
      <c r="S4">
        <v>4.0199999999999996</v>
      </c>
      <c r="T4">
        <v>8.14</v>
      </c>
      <c r="U4">
        <v>4.8600000000000003</v>
      </c>
      <c r="V4">
        <v>4.66</v>
      </c>
      <c r="W4">
        <v>5.49</v>
      </c>
      <c r="X4">
        <v>10.59</v>
      </c>
      <c r="Y4">
        <v>8.26</v>
      </c>
      <c r="Z4">
        <v>4.45</v>
      </c>
      <c r="AA4">
        <v>8.58</v>
      </c>
      <c r="AB4">
        <v>4.76</v>
      </c>
      <c r="AC4">
        <v>3.15</v>
      </c>
      <c r="AD4">
        <v>6.85</v>
      </c>
      <c r="AE4">
        <v>4.13</v>
      </c>
      <c r="AF4">
        <v>3.43</v>
      </c>
      <c r="AG4">
        <v>7.38</v>
      </c>
      <c r="AH4">
        <v>4.45</v>
      </c>
      <c r="AI4">
        <v>3.91</v>
      </c>
      <c r="AJ4">
        <v>7.78</v>
      </c>
      <c r="AK4">
        <v>10.89</v>
      </c>
    </row>
    <row r="5" spans="1:37" x14ac:dyDescent="0.25">
      <c r="A5" t="s">
        <v>1</v>
      </c>
      <c r="B5">
        <v>6.12</v>
      </c>
      <c r="C5">
        <v>6.2</v>
      </c>
      <c r="D5">
        <v>7.53</v>
      </c>
      <c r="E5">
        <v>6.79</v>
      </c>
      <c r="F5">
        <v>7.45</v>
      </c>
      <c r="G5">
        <v>7.84</v>
      </c>
      <c r="H5">
        <v>5</v>
      </c>
      <c r="I5">
        <v>7.29</v>
      </c>
      <c r="J5">
        <v>6.93</v>
      </c>
      <c r="K5">
        <v>4.54</v>
      </c>
      <c r="L5">
        <v>5.41</v>
      </c>
      <c r="M5">
        <v>4.95</v>
      </c>
      <c r="N5">
        <v>5.51</v>
      </c>
      <c r="O5">
        <v>6.72</v>
      </c>
      <c r="P5">
        <v>5.42</v>
      </c>
      <c r="Q5">
        <v>4.1100000000000003</v>
      </c>
      <c r="R5">
        <v>11.72</v>
      </c>
      <c r="S5">
        <v>7.38</v>
      </c>
      <c r="T5">
        <v>2.4900000000000002</v>
      </c>
      <c r="U5">
        <v>4.04</v>
      </c>
      <c r="V5">
        <v>4.0999999999999996</v>
      </c>
      <c r="W5">
        <v>3.23</v>
      </c>
      <c r="X5">
        <v>5</v>
      </c>
      <c r="Y5">
        <v>3.2</v>
      </c>
      <c r="Z5">
        <v>5.34</v>
      </c>
      <c r="AA5">
        <v>3.47</v>
      </c>
      <c r="AB5">
        <v>3.42</v>
      </c>
      <c r="AC5">
        <v>4.97</v>
      </c>
      <c r="AD5">
        <v>4.49</v>
      </c>
      <c r="AE5">
        <v>6.98</v>
      </c>
      <c r="AF5">
        <v>5.82</v>
      </c>
      <c r="AG5">
        <v>3.31</v>
      </c>
      <c r="AH5">
        <v>3.85</v>
      </c>
      <c r="AI5">
        <v>2.82</v>
      </c>
      <c r="AJ5">
        <v>7.49</v>
      </c>
      <c r="AK5">
        <v>3.97</v>
      </c>
    </row>
    <row r="6" spans="1:37" x14ac:dyDescent="0.25">
      <c r="A6" t="s">
        <v>2</v>
      </c>
      <c r="B6">
        <v>4.21</v>
      </c>
      <c r="C6">
        <v>8.69</v>
      </c>
      <c r="D6">
        <v>6.44</v>
      </c>
      <c r="E6">
        <v>7.25</v>
      </c>
      <c r="F6">
        <v>5.81</v>
      </c>
      <c r="G6">
        <v>6.46</v>
      </c>
      <c r="H6">
        <v>4.18</v>
      </c>
      <c r="I6">
        <v>7.08</v>
      </c>
      <c r="J6">
        <v>7.73</v>
      </c>
      <c r="K6">
        <v>5.27</v>
      </c>
      <c r="L6">
        <v>5.65</v>
      </c>
      <c r="M6">
        <v>5.99</v>
      </c>
      <c r="N6">
        <v>8.4700000000000006</v>
      </c>
      <c r="O6">
        <v>10.23</v>
      </c>
      <c r="P6">
        <v>9.33</v>
      </c>
      <c r="Q6">
        <v>7.1</v>
      </c>
      <c r="R6">
        <v>6.06</v>
      </c>
      <c r="S6">
        <v>5.22</v>
      </c>
      <c r="T6">
        <v>5.95</v>
      </c>
      <c r="U6">
        <v>5.64</v>
      </c>
      <c r="V6">
        <v>6.78</v>
      </c>
      <c r="W6">
        <v>8.0299999999999994</v>
      </c>
      <c r="X6">
        <v>5.51</v>
      </c>
      <c r="Y6">
        <v>5.7</v>
      </c>
      <c r="Z6">
        <v>4.18</v>
      </c>
      <c r="AA6">
        <v>5.12</v>
      </c>
      <c r="AB6">
        <v>4.46</v>
      </c>
      <c r="AC6">
        <v>3.24</v>
      </c>
      <c r="AD6">
        <v>3.33</v>
      </c>
      <c r="AE6">
        <v>4.67</v>
      </c>
      <c r="AF6">
        <v>3.52</v>
      </c>
      <c r="AG6">
        <v>6.14</v>
      </c>
      <c r="AH6">
        <v>4.6100000000000003</v>
      </c>
      <c r="AI6">
        <v>5.47</v>
      </c>
      <c r="AJ6">
        <v>7</v>
      </c>
      <c r="AK6">
        <v>4.51</v>
      </c>
    </row>
    <row r="7" spans="1:37" x14ac:dyDescent="0.25">
      <c r="A7" t="s">
        <v>3</v>
      </c>
      <c r="B7">
        <v>4.5599999999999996</v>
      </c>
      <c r="C7">
        <v>5.32</v>
      </c>
      <c r="D7">
        <v>4.8899999999999997</v>
      </c>
      <c r="E7">
        <v>7.14</v>
      </c>
      <c r="F7">
        <v>4.63</v>
      </c>
      <c r="G7">
        <v>4.63</v>
      </c>
      <c r="H7">
        <v>6.46</v>
      </c>
      <c r="I7">
        <v>6.01</v>
      </c>
      <c r="J7">
        <v>5.98</v>
      </c>
      <c r="K7">
        <v>6.78</v>
      </c>
      <c r="L7">
        <v>4.16</v>
      </c>
      <c r="M7">
        <v>5.15</v>
      </c>
      <c r="N7">
        <v>5.57</v>
      </c>
      <c r="O7">
        <v>5.17</v>
      </c>
      <c r="P7">
        <v>5.93</v>
      </c>
      <c r="Q7">
        <v>8.84</v>
      </c>
      <c r="R7">
        <v>8.75</v>
      </c>
      <c r="S7">
        <v>8.14</v>
      </c>
      <c r="T7">
        <v>5.0599999999999996</v>
      </c>
      <c r="U7">
        <v>4.78</v>
      </c>
      <c r="V7">
        <v>4.6500000000000004</v>
      </c>
      <c r="W7">
        <v>6.22</v>
      </c>
      <c r="X7">
        <v>4.4800000000000004</v>
      </c>
      <c r="Y7">
        <v>5.51</v>
      </c>
      <c r="Z7">
        <v>3.02</v>
      </c>
      <c r="AA7">
        <v>5.99</v>
      </c>
      <c r="AB7">
        <v>4.58</v>
      </c>
      <c r="AC7">
        <v>4.4400000000000004</v>
      </c>
      <c r="AD7">
        <v>6.17</v>
      </c>
      <c r="AE7">
        <v>5.98</v>
      </c>
      <c r="AF7">
        <v>5.0999999999999996</v>
      </c>
      <c r="AG7">
        <v>5.99</v>
      </c>
      <c r="AH7">
        <v>4.97</v>
      </c>
      <c r="AI7">
        <v>7.79</v>
      </c>
      <c r="AJ7">
        <v>7.81</v>
      </c>
      <c r="AK7">
        <v>5.28</v>
      </c>
    </row>
    <row r="8" spans="1:37" x14ac:dyDescent="0.25">
      <c r="A8" t="s">
        <v>4</v>
      </c>
      <c r="B8">
        <v>6.6</v>
      </c>
      <c r="C8">
        <v>4.13</v>
      </c>
      <c r="D8">
        <v>5.42</v>
      </c>
      <c r="E8">
        <v>4.9000000000000004</v>
      </c>
      <c r="F8">
        <v>8.15</v>
      </c>
      <c r="G8">
        <v>9.0299999999999994</v>
      </c>
      <c r="H8">
        <v>6.34</v>
      </c>
      <c r="I8">
        <v>4.66</v>
      </c>
      <c r="J8">
        <v>5.53</v>
      </c>
      <c r="K8">
        <v>9.51</v>
      </c>
      <c r="L8">
        <v>8.7200000000000006</v>
      </c>
      <c r="M8">
        <v>8.52</v>
      </c>
      <c r="N8">
        <v>1.59</v>
      </c>
      <c r="O8">
        <v>4.97</v>
      </c>
      <c r="P8">
        <v>4.7300000000000004</v>
      </c>
      <c r="Q8">
        <v>5.87</v>
      </c>
      <c r="R8">
        <v>6.66</v>
      </c>
      <c r="S8">
        <v>3.68</v>
      </c>
      <c r="T8">
        <v>4.92</v>
      </c>
      <c r="U8">
        <v>7.64</v>
      </c>
      <c r="V8">
        <v>8.6</v>
      </c>
      <c r="W8">
        <v>3.78</v>
      </c>
      <c r="X8">
        <v>7.6</v>
      </c>
      <c r="Y8">
        <v>7.27</v>
      </c>
      <c r="Z8">
        <v>5.2</v>
      </c>
      <c r="AA8">
        <v>5.72</v>
      </c>
      <c r="AB8">
        <v>4.74</v>
      </c>
      <c r="AC8">
        <v>3.32</v>
      </c>
      <c r="AD8">
        <v>3.32</v>
      </c>
      <c r="AE8">
        <v>5.49</v>
      </c>
      <c r="AF8">
        <v>8.1</v>
      </c>
      <c r="AG8">
        <v>3.62</v>
      </c>
      <c r="AH8">
        <v>3.3</v>
      </c>
      <c r="AI8">
        <v>6.4</v>
      </c>
      <c r="AJ8">
        <v>5.27</v>
      </c>
      <c r="AK8">
        <v>3.92</v>
      </c>
    </row>
    <row r="9" spans="1:37" x14ac:dyDescent="0.25">
      <c r="A9" s="1">
        <v>45501</v>
      </c>
    </row>
    <row r="10" spans="1:37" x14ac:dyDescent="0.25">
      <c r="B10" t="s">
        <v>7</v>
      </c>
      <c r="D10" t="s">
        <v>8</v>
      </c>
      <c r="F10" t="s">
        <v>9</v>
      </c>
      <c r="H10" t="s">
        <v>10</v>
      </c>
      <c r="J10" t="s">
        <v>11</v>
      </c>
      <c r="L10" t="s">
        <v>12</v>
      </c>
      <c r="N10" t="s">
        <v>13</v>
      </c>
      <c r="P10" t="s">
        <v>14</v>
      </c>
      <c r="R10" t="s">
        <v>15</v>
      </c>
      <c r="T10" t="s">
        <v>16</v>
      </c>
      <c r="V10" t="s">
        <v>17</v>
      </c>
      <c r="X10" t="s">
        <v>18</v>
      </c>
      <c r="Z10" t="s">
        <v>19</v>
      </c>
      <c r="AB10" t="s">
        <v>20</v>
      </c>
      <c r="AD10" t="s">
        <v>21</v>
      </c>
      <c r="AF10" t="s">
        <v>22</v>
      </c>
      <c r="AH10" t="s">
        <v>23</v>
      </c>
      <c r="AJ10" t="s">
        <v>24</v>
      </c>
    </row>
    <row r="11" spans="1:37" x14ac:dyDescent="0.25">
      <c r="B11" t="s">
        <v>5</v>
      </c>
      <c r="C11" t="s">
        <v>6</v>
      </c>
      <c r="D11" t="s">
        <v>5</v>
      </c>
      <c r="E11" t="s">
        <v>6</v>
      </c>
      <c r="F11" t="s">
        <v>5</v>
      </c>
      <c r="G11" t="s">
        <v>6</v>
      </c>
      <c r="H11" t="s">
        <v>5</v>
      </c>
      <c r="I11" t="s">
        <v>6</v>
      </c>
      <c r="J11" t="s">
        <v>5</v>
      </c>
      <c r="K11" t="s">
        <v>6</v>
      </c>
      <c r="L11" t="s">
        <v>5</v>
      </c>
      <c r="M11" t="s">
        <v>6</v>
      </c>
      <c r="N11" t="s">
        <v>5</v>
      </c>
      <c r="O11" t="s">
        <v>6</v>
      </c>
      <c r="P11" t="s">
        <v>5</v>
      </c>
      <c r="Q11" t="s">
        <v>6</v>
      </c>
      <c r="R11" t="s">
        <v>5</v>
      </c>
      <c r="S11" t="s">
        <v>6</v>
      </c>
      <c r="T11" t="s">
        <v>5</v>
      </c>
      <c r="U11" t="s">
        <v>6</v>
      </c>
      <c r="V11" t="s">
        <v>5</v>
      </c>
      <c r="W11" t="s">
        <v>6</v>
      </c>
      <c r="X11" t="s">
        <v>5</v>
      </c>
      <c r="Y11" t="s">
        <v>6</v>
      </c>
      <c r="Z11" t="s">
        <v>5</v>
      </c>
      <c r="AA11" t="s">
        <v>6</v>
      </c>
      <c r="AB11" t="s">
        <v>5</v>
      </c>
      <c r="AC11" t="s">
        <v>6</v>
      </c>
      <c r="AD11" t="s">
        <v>5</v>
      </c>
      <c r="AE11" t="s">
        <v>6</v>
      </c>
      <c r="AF11" t="s">
        <v>5</v>
      </c>
      <c r="AG11" t="s">
        <v>6</v>
      </c>
      <c r="AH11" t="s">
        <v>5</v>
      </c>
      <c r="AI11" t="s">
        <v>6</v>
      </c>
      <c r="AJ11" t="s">
        <v>5</v>
      </c>
      <c r="AK11" t="s">
        <v>6</v>
      </c>
    </row>
    <row r="12" spans="1:37" x14ac:dyDescent="0.25">
      <c r="A12" t="s">
        <v>0</v>
      </c>
      <c r="B12">
        <v>3.5</v>
      </c>
      <c r="C12">
        <v>6.95</v>
      </c>
      <c r="D12">
        <v>6.62</v>
      </c>
      <c r="E12">
        <v>8.8800000000000008</v>
      </c>
      <c r="F12">
        <v>9.41</v>
      </c>
      <c r="G12">
        <v>8.7799999999999994</v>
      </c>
      <c r="H12">
        <v>6.54</v>
      </c>
      <c r="I12">
        <v>4.9400000000000004</v>
      </c>
      <c r="J12">
        <v>9.06</v>
      </c>
      <c r="K12">
        <v>7.84</v>
      </c>
      <c r="L12">
        <v>3.3</v>
      </c>
      <c r="M12">
        <v>5.31</v>
      </c>
      <c r="N12">
        <v>5.23</v>
      </c>
      <c r="O12">
        <v>6.67</v>
      </c>
      <c r="P12">
        <v>3.77</v>
      </c>
      <c r="Q12">
        <v>5.93</v>
      </c>
      <c r="R12">
        <v>5.26</v>
      </c>
      <c r="S12">
        <v>5.0199999999999996</v>
      </c>
      <c r="T12">
        <v>7.98</v>
      </c>
      <c r="U12">
        <v>5.8</v>
      </c>
      <c r="V12">
        <v>11.74</v>
      </c>
      <c r="W12">
        <v>3.02</v>
      </c>
      <c r="X12">
        <v>2.88</v>
      </c>
      <c r="Y12">
        <v>3.58</v>
      </c>
      <c r="Z12">
        <v>5.79</v>
      </c>
      <c r="AA12">
        <v>7.6</v>
      </c>
      <c r="AB12">
        <v>7.52</v>
      </c>
      <c r="AC12">
        <v>10.58</v>
      </c>
      <c r="AD12">
        <v>6.25</v>
      </c>
      <c r="AE12">
        <v>3.94</v>
      </c>
      <c r="AF12">
        <v>7.03</v>
      </c>
      <c r="AG12">
        <v>4.24</v>
      </c>
      <c r="AH12">
        <v>4.18</v>
      </c>
      <c r="AI12">
        <v>3.4</v>
      </c>
      <c r="AJ12">
        <v>6.15</v>
      </c>
      <c r="AK12">
        <v>6.73</v>
      </c>
    </row>
    <row r="13" spans="1:37" x14ac:dyDescent="0.25">
      <c r="A13" t="s">
        <v>1</v>
      </c>
      <c r="B13">
        <v>3.98</v>
      </c>
      <c r="C13">
        <v>6.9</v>
      </c>
      <c r="D13">
        <v>6.1</v>
      </c>
      <c r="E13">
        <v>10.4</v>
      </c>
      <c r="F13">
        <v>3.91</v>
      </c>
      <c r="G13">
        <v>3.61</v>
      </c>
      <c r="H13">
        <v>5.89</v>
      </c>
      <c r="I13">
        <v>5.31</v>
      </c>
      <c r="J13">
        <v>5.13</v>
      </c>
      <c r="K13">
        <v>8.18</v>
      </c>
      <c r="L13">
        <v>3.41</v>
      </c>
      <c r="M13">
        <v>5.25</v>
      </c>
      <c r="N13">
        <v>3.58</v>
      </c>
      <c r="O13">
        <v>10.26</v>
      </c>
      <c r="P13">
        <v>4.8</v>
      </c>
      <c r="Q13">
        <v>4.78</v>
      </c>
      <c r="R13">
        <v>8.75</v>
      </c>
      <c r="S13">
        <v>9.3800000000000008</v>
      </c>
      <c r="T13">
        <v>6.71</v>
      </c>
      <c r="U13">
        <v>3.6</v>
      </c>
      <c r="V13">
        <v>10.09</v>
      </c>
      <c r="W13">
        <v>2.0099999999999998</v>
      </c>
      <c r="X13">
        <v>3.23</v>
      </c>
      <c r="Y13">
        <v>5.6</v>
      </c>
      <c r="Z13">
        <v>4.1500000000000004</v>
      </c>
      <c r="AA13">
        <v>3.36</v>
      </c>
      <c r="AB13">
        <v>5.87</v>
      </c>
      <c r="AC13">
        <v>5.91</v>
      </c>
      <c r="AD13">
        <v>6.81</v>
      </c>
      <c r="AE13">
        <v>6.18</v>
      </c>
      <c r="AF13">
        <v>6.94</v>
      </c>
      <c r="AG13">
        <v>3.87</v>
      </c>
      <c r="AH13">
        <v>2.91</v>
      </c>
      <c r="AI13">
        <v>2.83</v>
      </c>
      <c r="AJ13">
        <v>5.32</v>
      </c>
      <c r="AK13">
        <v>7.03</v>
      </c>
    </row>
    <row r="14" spans="1:37" x14ac:dyDescent="0.25">
      <c r="A14" t="s">
        <v>2</v>
      </c>
      <c r="B14">
        <v>6.26</v>
      </c>
      <c r="C14">
        <v>4.54</v>
      </c>
      <c r="D14">
        <v>10.32</v>
      </c>
      <c r="E14">
        <v>5.57</v>
      </c>
      <c r="F14">
        <v>5.78</v>
      </c>
      <c r="G14">
        <v>10.45</v>
      </c>
      <c r="H14">
        <v>5.89</v>
      </c>
      <c r="I14">
        <v>7.32</v>
      </c>
      <c r="J14">
        <v>4.78</v>
      </c>
      <c r="K14">
        <v>4.67</v>
      </c>
      <c r="L14">
        <v>1.26</v>
      </c>
      <c r="M14">
        <v>2.52</v>
      </c>
      <c r="N14">
        <v>5.17</v>
      </c>
      <c r="O14">
        <v>3.24</v>
      </c>
      <c r="P14">
        <v>5.58</v>
      </c>
      <c r="Q14">
        <v>6.42</v>
      </c>
      <c r="R14">
        <v>7.53</v>
      </c>
      <c r="S14">
        <v>6.24</v>
      </c>
      <c r="T14">
        <v>3.85</v>
      </c>
      <c r="U14">
        <v>3.38</v>
      </c>
      <c r="V14">
        <v>3.81</v>
      </c>
      <c r="W14">
        <v>3.38</v>
      </c>
      <c r="X14">
        <v>5.12</v>
      </c>
      <c r="Y14">
        <v>4.8099999999999996</v>
      </c>
      <c r="Z14">
        <v>6.08</v>
      </c>
      <c r="AA14">
        <v>6.27</v>
      </c>
      <c r="AB14">
        <v>4.38</v>
      </c>
      <c r="AC14">
        <v>4.9800000000000004</v>
      </c>
      <c r="AD14">
        <v>4.95</v>
      </c>
      <c r="AE14">
        <v>6.35</v>
      </c>
      <c r="AF14">
        <v>6.64</v>
      </c>
      <c r="AG14">
        <v>8.65</v>
      </c>
      <c r="AH14">
        <v>1.68</v>
      </c>
      <c r="AI14">
        <v>3.86</v>
      </c>
      <c r="AJ14">
        <v>4.8499999999999996</v>
      </c>
      <c r="AK14">
        <v>7.94</v>
      </c>
    </row>
    <row r="15" spans="1:37" x14ac:dyDescent="0.25">
      <c r="A15" t="s">
        <v>3</v>
      </c>
      <c r="B15">
        <v>5.94</v>
      </c>
      <c r="C15">
        <v>6.46</v>
      </c>
      <c r="D15">
        <v>5.95</v>
      </c>
      <c r="E15">
        <v>3.97</v>
      </c>
      <c r="F15">
        <v>3.8</v>
      </c>
      <c r="G15">
        <v>3.77</v>
      </c>
      <c r="H15">
        <v>3.77</v>
      </c>
      <c r="I15">
        <v>3.09</v>
      </c>
      <c r="J15">
        <v>7.77</v>
      </c>
      <c r="K15">
        <v>2.61</v>
      </c>
      <c r="L15">
        <v>3.91</v>
      </c>
      <c r="M15">
        <v>4.5999999999999996</v>
      </c>
      <c r="N15">
        <v>6.74</v>
      </c>
      <c r="O15">
        <v>5.03</v>
      </c>
      <c r="P15">
        <v>6.26</v>
      </c>
      <c r="Q15">
        <v>4.5999999999999996</v>
      </c>
      <c r="R15">
        <v>6.66</v>
      </c>
      <c r="S15">
        <v>6</v>
      </c>
      <c r="T15">
        <v>6.58</v>
      </c>
      <c r="U15">
        <v>5.32</v>
      </c>
      <c r="V15">
        <v>3.31</v>
      </c>
      <c r="W15">
        <v>3.21</v>
      </c>
      <c r="X15">
        <v>4.4800000000000004</v>
      </c>
      <c r="Y15">
        <v>4.4800000000000004</v>
      </c>
      <c r="Z15">
        <v>4.55</v>
      </c>
      <c r="AA15">
        <v>5.31</v>
      </c>
      <c r="AB15">
        <v>3.78</v>
      </c>
      <c r="AC15">
        <v>2.59</v>
      </c>
      <c r="AD15">
        <v>4.1900000000000004</v>
      </c>
      <c r="AE15">
        <v>6.42</v>
      </c>
      <c r="AF15">
        <v>6.02</v>
      </c>
      <c r="AG15">
        <v>5.25</v>
      </c>
      <c r="AH15">
        <v>2.64</v>
      </c>
      <c r="AI15">
        <v>4.7699999999999996</v>
      </c>
      <c r="AJ15">
        <v>5.55</v>
      </c>
      <c r="AK15">
        <v>4.96</v>
      </c>
    </row>
    <row r="16" spans="1:37" x14ac:dyDescent="0.25">
      <c r="A16" t="s">
        <v>4</v>
      </c>
      <c r="B16">
        <v>3.5</v>
      </c>
      <c r="C16">
        <v>6.4</v>
      </c>
      <c r="D16">
        <v>5.69</v>
      </c>
      <c r="E16">
        <v>9.77</v>
      </c>
      <c r="F16">
        <v>5.96</v>
      </c>
      <c r="G16">
        <v>5.35</v>
      </c>
      <c r="H16">
        <v>3.15</v>
      </c>
      <c r="I16">
        <v>5.76</v>
      </c>
      <c r="J16">
        <v>8.2799999999999994</v>
      </c>
      <c r="K16">
        <v>5.81</v>
      </c>
      <c r="L16">
        <v>1.65</v>
      </c>
      <c r="M16">
        <v>2.7</v>
      </c>
      <c r="N16">
        <v>2.62</v>
      </c>
      <c r="O16">
        <v>7.14</v>
      </c>
      <c r="P16">
        <v>5.69</v>
      </c>
      <c r="Q16">
        <v>4.63</v>
      </c>
      <c r="R16">
        <v>4.59</v>
      </c>
      <c r="S16">
        <v>6.91</v>
      </c>
      <c r="T16">
        <v>10.71</v>
      </c>
      <c r="U16">
        <v>5.64</v>
      </c>
      <c r="V16">
        <v>5.48</v>
      </c>
      <c r="W16">
        <v>2.21</v>
      </c>
      <c r="X16">
        <v>6.98</v>
      </c>
      <c r="Y16">
        <v>5.05</v>
      </c>
      <c r="Z16">
        <v>3.1</v>
      </c>
      <c r="AA16">
        <v>4.16</v>
      </c>
      <c r="AB16">
        <v>7.42</v>
      </c>
      <c r="AC16">
        <v>3.05</v>
      </c>
      <c r="AD16">
        <v>4.55</v>
      </c>
      <c r="AE16">
        <v>4.08</v>
      </c>
      <c r="AF16">
        <v>3.98</v>
      </c>
      <c r="AG16">
        <v>4.8899999999999997</v>
      </c>
      <c r="AH16">
        <v>3.46</v>
      </c>
      <c r="AI16">
        <v>5.85</v>
      </c>
      <c r="AJ16">
        <v>4.83</v>
      </c>
      <c r="AK16">
        <v>2.93</v>
      </c>
    </row>
    <row r="17" spans="1:37" x14ac:dyDescent="0.25">
      <c r="A17" s="1">
        <v>45512</v>
      </c>
    </row>
    <row r="18" spans="1:37" x14ac:dyDescent="0.25">
      <c r="B18" t="s">
        <v>7</v>
      </c>
      <c r="D18" t="s">
        <v>8</v>
      </c>
      <c r="F18" t="s">
        <v>9</v>
      </c>
      <c r="H18" t="s">
        <v>10</v>
      </c>
      <c r="J18" t="s">
        <v>11</v>
      </c>
      <c r="L18" t="s">
        <v>12</v>
      </c>
      <c r="N18" t="s">
        <v>13</v>
      </c>
      <c r="P18" t="s">
        <v>14</v>
      </c>
      <c r="R18" t="s">
        <v>15</v>
      </c>
      <c r="T18" t="s">
        <v>16</v>
      </c>
      <c r="V18" t="s">
        <v>17</v>
      </c>
      <c r="X18" t="s">
        <v>18</v>
      </c>
      <c r="Z18" t="s">
        <v>19</v>
      </c>
      <c r="AB18" t="s">
        <v>20</v>
      </c>
      <c r="AD18" t="s">
        <v>21</v>
      </c>
      <c r="AF18" t="s">
        <v>22</v>
      </c>
      <c r="AH18" t="s">
        <v>23</v>
      </c>
      <c r="AJ18" t="s">
        <v>24</v>
      </c>
    </row>
    <row r="19" spans="1:37" x14ac:dyDescent="0.25">
      <c r="B19" t="s">
        <v>5</v>
      </c>
      <c r="C19" t="s">
        <v>6</v>
      </c>
      <c r="D19" t="s">
        <v>5</v>
      </c>
      <c r="E19" t="s">
        <v>6</v>
      </c>
      <c r="F19" t="s">
        <v>5</v>
      </c>
      <c r="G19" t="s">
        <v>6</v>
      </c>
      <c r="H19" t="s">
        <v>5</v>
      </c>
      <c r="I19" t="s">
        <v>6</v>
      </c>
      <c r="J19" t="s">
        <v>5</v>
      </c>
      <c r="K19" t="s">
        <v>6</v>
      </c>
      <c r="L19" t="s">
        <v>5</v>
      </c>
      <c r="M19" t="s">
        <v>6</v>
      </c>
      <c r="N19" t="s">
        <v>5</v>
      </c>
      <c r="O19" t="s">
        <v>6</v>
      </c>
      <c r="P19" t="s">
        <v>5</v>
      </c>
      <c r="Q19" t="s">
        <v>6</v>
      </c>
      <c r="R19" t="s">
        <v>5</v>
      </c>
      <c r="S19" t="s">
        <v>6</v>
      </c>
      <c r="T19" t="s">
        <v>5</v>
      </c>
      <c r="U19" t="s">
        <v>6</v>
      </c>
      <c r="V19" t="s">
        <v>5</v>
      </c>
      <c r="W19" t="s">
        <v>6</v>
      </c>
      <c r="X19" t="s">
        <v>5</v>
      </c>
      <c r="Y19" t="s">
        <v>6</v>
      </c>
      <c r="Z19" t="s">
        <v>5</v>
      </c>
      <c r="AA19" t="s">
        <v>6</v>
      </c>
      <c r="AB19" t="s">
        <v>5</v>
      </c>
      <c r="AC19" t="s">
        <v>6</v>
      </c>
      <c r="AD19" t="s">
        <v>5</v>
      </c>
      <c r="AE19" t="s">
        <v>6</v>
      </c>
      <c r="AF19" t="s">
        <v>5</v>
      </c>
      <c r="AG19" t="s">
        <v>6</v>
      </c>
      <c r="AH19" t="s">
        <v>5</v>
      </c>
      <c r="AI19" t="s">
        <v>6</v>
      </c>
      <c r="AJ19" t="s">
        <v>5</v>
      </c>
      <c r="AK19" t="s">
        <v>6</v>
      </c>
    </row>
    <row r="20" spans="1:37" x14ac:dyDescent="0.25">
      <c r="A20" t="s">
        <v>0</v>
      </c>
      <c r="B20">
        <v>5.93</v>
      </c>
      <c r="C20">
        <v>3.43</v>
      </c>
      <c r="D20">
        <v>4.99</v>
      </c>
      <c r="E20">
        <v>4.42</v>
      </c>
      <c r="F20">
        <v>4.6900000000000004</v>
      </c>
      <c r="G20">
        <v>2.64</v>
      </c>
      <c r="H20">
        <v>3.82</v>
      </c>
      <c r="I20">
        <v>3.27</v>
      </c>
      <c r="J20">
        <v>1.84</v>
      </c>
      <c r="K20">
        <v>9.2200000000000006</v>
      </c>
      <c r="L20">
        <v>1.24</v>
      </c>
      <c r="M20">
        <v>3.39</v>
      </c>
      <c r="N20">
        <v>4.2699999999999996</v>
      </c>
      <c r="O20">
        <v>2.37</v>
      </c>
      <c r="P20">
        <v>5.3</v>
      </c>
      <c r="Q20">
        <v>5.0599999999999996</v>
      </c>
      <c r="R20">
        <v>2.98</v>
      </c>
      <c r="S20">
        <v>4.6500000000000004</v>
      </c>
      <c r="T20">
        <v>5.76</v>
      </c>
      <c r="U20">
        <v>7.09</v>
      </c>
      <c r="X20">
        <v>1.87</v>
      </c>
      <c r="Y20">
        <v>2.72</v>
      </c>
      <c r="Z20">
        <v>4.82</v>
      </c>
      <c r="AA20">
        <v>8</v>
      </c>
      <c r="AB20">
        <v>5.07</v>
      </c>
      <c r="AC20">
        <v>7.75</v>
      </c>
      <c r="AD20">
        <v>6.8</v>
      </c>
      <c r="AE20">
        <v>6.29</v>
      </c>
      <c r="AF20">
        <v>2.5099999999999998</v>
      </c>
      <c r="AG20">
        <v>4.55</v>
      </c>
      <c r="AH20">
        <v>2.1800000000000002</v>
      </c>
      <c r="AI20">
        <v>3.93</v>
      </c>
      <c r="AJ20">
        <v>2.0299999999999998</v>
      </c>
      <c r="AK20">
        <v>2.9</v>
      </c>
    </row>
    <row r="21" spans="1:37" x14ac:dyDescent="0.25">
      <c r="A21" t="s">
        <v>1</v>
      </c>
      <c r="B21">
        <v>5.4</v>
      </c>
      <c r="C21">
        <v>3.62</v>
      </c>
      <c r="D21">
        <v>1.71</v>
      </c>
      <c r="E21">
        <v>8.15</v>
      </c>
      <c r="F21">
        <v>4.32</v>
      </c>
      <c r="G21">
        <v>2.91</v>
      </c>
      <c r="H21">
        <v>4.5</v>
      </c>
      <c r="I21">
        <v>2.6</v>
      </c>
      <c r="J21">
        <v>4.18</v>
      </c>
      <c r="K21">
        <v>1.1200000000000001</v>
      </c>
      <c r="L21">
        <v>2.2200000000000002</v>
      </c>
      <c r="M21">
        <v>2.0499999999999998</v>
      </c>
      <c r="N21">
        <v>3.25</v>
      </c>
      <c r="O21">
        <v>3.13</v>
      </c>
      <c r="P21">
        <v>5.08</v>
      </c>
      <c r="Q21">
        <v>7.66</v>
      </c>
      <c r="R21">
        <v>8.31</v>
      </c>
      <c r="S21">
        <v>1</v>
      </c>
      <c r="T21">
        <v>2.23</v>
      </c>
      <c r="U21">
        <v>2.96</v>
      </c>
      <c r="X21">
        <v>2.33</v>
      </c>
      <c r="Y21">
        <v>1.01</v>
      </c>
      <c r="Z21">
        <v>3.76</v>
      </c>
      <c r="AA21">
        <v>3.65</v>
      </c>
      <c r="AB21">
        <v>7.07</v>
      </c>
      <c r="AC21">
        <v>4.87</v>
      </c>
      <c r="AD21">
        <v>5.34</v>
      </c>
      <c r="AE21">
        <v>5.41</v>
      </c>
      <c r="AF21">
        <v>2.46</v>
      </c>
      <c r="AG21">
        <v>1.87</v>
      </c>
      <c r="AH21">
        <v>2.16</v>
      </c>
      <c r="AI21">
        <v>2.3199999999999998</v>
      </c>
      <c r="AJ21">
        <v>2.63</v>
      </c>
      <c r="AK21">
        <v>4.12</v>
      </c>
    </row>
    <row r="22" spans="1:37" x14ac:dyDescent="0.25">
      <c r="A22" t="s">
        <v>2</v>
      </c>
      <c r="B22">
        <v>1.51</v>
      </c>
      <c r="C22">
        <v>4.75</v>
      </c>
      <c r="D22">
        <v>2.29</v>
      </c>
      <c r="E22">
        <v>6</v>
      </c>
      <c r="F22">
        <v>9.57</v>
      </c>
      <c r="G22">
        <v>3.53</v>
      </c>
      <c r="H22">
        <v>2.72</v>
      </c>
      <c r="I22">
        <v>4.3</v>
      </c>
      <c r="J22">
        <v>8.2200000000000006</v>
      </c>
      <c r="K22">
        <v>3.71</v>
      </c>
      <c r="L22">
        <v>2.17</v>
      </c>
      <c r="M22">
        <v>6.9</v>
      </c>
      <c r="N22">
        <v>2.68</v>
      </c>
      <c r="O22">
        <v>4.8099999999999996</v>
      </c>
      <c r="P22">
        <v>4.1399999999999997</v>
      </c>
      <c r="Q22">
        <v>4.72</v>
      </c>
      <c r="R22">
        <v>4.88</v>
      </c>
      <c r="S22">
        <v>5.15</v>
      </c>
      <c r="T22">
        <v>10.33</v>
      </c>
      <c r="U22">
        <v>3.01</v>
      </c>
      <c r="X22">
        <v>5.62</v>
      </c>
      <c r="Y22">
        <v>2.33</v>
      </c>
      <c r="Z22">
        <v>4.42</v>
      </c>
      <c r="AA22">
        <v>4.62</v>
      </c>
      <c r="AB22">
        <v>6.38</v>
      </c>
      <c r="AC22">
        <v>3.04</v>
      </c>
      <c r="AD22">
        <v>4.91</v>
      </c>
      <c r="AE22">
        <v>2.82</v>
      </c>
      <c r="AF22">
        <v>3.21</v>
      </c>
      <c r="AG22">
        <v>3.06</v>
      </c>
      <c r="AH22">
        <v>2.23</v>
      </c>
      <c r="AI22">
        <v>5.12</v>
      </c>
      <c r="AJ22">
        <v>1.73</v>
      </c>
      <c r="AK22">
        <v>1.46</v>
      </c>
    </row>
    <row r="23" spans="1:37" x14ac:dyDescent="0.25">
      <c r="A23" t="s">
        <v>3</v>
      </c>
      <c r="B23">
        <v>3.8</v>
      </c>
      <c r="C23">
        <v>7.24</v>
      </c>
      <c r="D23">
        <v>6.89</v>
      </c>
      <c r="E23">
        <v>3.28</v>
      </c>
      <c r="F23">
        <v>6.31</v>
      </c>
      <c r="G23">
        <v>5.6</v>
      </c>
      <c r="H23">
        <v>4.6399999999999997</v>
      </c>
      <c r="I23">
        <v>4.59</v>
      </c>
      <c r="J23">
        <v>4.17</v>
      </c>
      <c r="K23">
        <v>2.0299999999999998</v>
      </c>
      <c r="L23">
        <v>1.57</v>
      </c>
      <c r="M23">
        <v>2.9</v>
      </c>
      <c r="N23">
        <v>1.08</v>
      </c>
      <c r="O23">
        <v>2.46</v>
      </c>
      <c r="P23">
        <v>3.56</v>
      </c>
      <c r="Q23">
        <v>4.7</v>
      </c>
      <c r="R23">
        <v>7.95</v>
      </c>
      <c r="S23">
        <v>5.09</v>
      </c>
      <c r="T23">
        <v>7.1</v>
      </c>
      <c r="U23">
        <v>12.89</v>
      </c>
      <c r="X23">
        <v>2.31</v>
      </c>
      <c r="Y23">
        <v>5.12</v>
      </c>
      <c r="Z23">
        <v>3.18</v>
      </c>
      <c r="AA23">
        <v>1.93</v>
      </c>
      <c r="AB23">
        <v>2.6</v>
      </c>
      <c r="AC23">
        <v>4.82</v>
      </c>
      <c r="AD23">
        <v>7.6</v>
      </c>
      <c r="AE23">
        <v>4.4400000000000004</v>
      </c>
      <c r="AF23">
        <v>3.11</v>
      </c>
      <c r="AG23">
        <v>4.1399999999999997</v>
      </c>
      <c r="AH23">
        <v>3.12</v>
      </c>
      <c r="AI23">
        <v>2.52</v>
      </c>
      <c r="AJ23">
        <v>1.36</v>
      </c>
      <c r="AK23">
        <v>2.95</v>
      </c>
    </row>
    <row r="24" spans="1:37" x14ac:dyDescent="0.25">
      <c r="A24" t="s">
        <v>4</v>
      </c>
      <c r="B24">
        <v>5.45</v>
      </c>
      <c r="C24">
        <v>6.45</v>
      </c>
      <c r="D24">
        <v>2.77</v>
      </c>
      <c r="E24">
        <v>3.45</v>
      </c>
      <c r="F24">
        <v>4.47</v>
      </c>
      <c r="G24">
        <v>3.53</v>
      </c>
      <c r="H24">
        <v>4.13</v>
      </c>
      <c r="I24">
        <v>2.56</v>
      </c>
      <c r="J24">
        <v>7.47</v>
      </c>
      <c r="K24">
        <v>8.08</v>
      </c>
      <c r="L24">
        <v>4.6399999999999997</v>
      </c>
      <c r="M24">
        <v>2.86</v>
      </c>
      <c r="N24">
        <v>1.35</v>
      </c>
      <c r="O24">
        <v>1.51</v>
      </c>
      <c r="P24">
        <v>8.98</v>
      </c>
      <c r="Q24">
        <v>5.03</v>
      </c>
      <c r="R24">
        <v>5.15</v>
      </c>
      <c r="S24">
        <v>5.73</v>
      </c>
      <c r="T24">
        <v>5.0599999999999996</v>
      </c>
      <c r="U24">
        <v>9.31</v>
      </c>
      <c r="X24">
        <v>4.3600000000000003</v>
      </c>
      <c r="Y24">
        <v>1.79</v>
      </c>
      <c r="Z24">
        <v>7.33</v>
      </c>
      <c r="AA24">
        <v>4.42</v>
      </c>
      <c r="AB24">
        <v>4.3099999999999996</v>
      </c>
      <c r="AC24">
        <v>4.57</v>
      </c>
      <c r="AD24">
        <v>7.68</v>
      </c>
      <c r="AE24">
        <v>5.84</v>
      </c>
      <c r="AF24">
        <v>3.3</v>
      </c>
      <c r="AG24">
        <v>4.1900000000000004</v>
      </c>
      <c r="AH24">
        <v>4.82</v>
      </c>
      <c r="AI24">
        <v>3.51</v>
      </c>
      <c r="AJ24">
        <v>1.79</v>
      </c>
      <c r="AK24">
        <v>1.39</v>
      </c>
    </row>
    <row r="25" spans="1:37" x14ac:dyDescent="0.25">
      <c r="A25" s="1">
        <v>45533</v>
      </c>
    </row>
    <row r="26" spans="1:37" x14ac:dyDescent="0.25">
      <c r="B26" t="s">
        <v>7</v>
      </c>
      <c r="D26" t="s">
        <v>8</v>
      </c>
      <c r="F26" t="s">
        <v>9</v>
      </c>
      <c r="H26" t="s">
        <v>10</v>
      </c>
      <c r="J26" t="s">
        <v>11</v>
      </c>
      <c r="L26" t="s">
        <v>12</v>
      </c>
      <c r="N26" t="s">
        <v>13</v>
      </c>
      <c r="P26" t="s">
        <v>14</v>
      </c>
      <c r="R26" t="s">
        <v>15</v>
      </c>
      <c r="T26" t="s">
        <v>16</v>
      </c>
      <c r="V26" t="s">
        <v>17</v>
      </c>
      <c r="X26" t="s">
        <v>18</v>
      </c>
      <c r="Z26" t="s">
        <v>19</v>
      </c>
      <c r="AB26" t="s">
        <v>20</v>
      </c>
      <c r="AD26" t="s">
        <v>21</v>
      </c>
      <c r="AF26" t="s">
        <v>22</v>
      </c>
      <c r="AH26" t="s">
        <v>23</v>
      </c>
      <c r="AJ26" t="s">
        <v>24</v>
      </c>
    </row>
    <row r="27" spans="1:37" x14ac:dyDescent="0.25">
      <c r="B27" t="s">
        <v>5</v>
      </c>
      <c r="C27" t="s">
        <v>6</v>
      </c>
      <c r="D27" t="s">
        <v>5</v>
      </c>
      <c r="E27" t="s">
        <v>6</v>
      </c>
      <c r="F27" t="s">
        <v>5</v>
      </c>
      <c r="G27" t="s">
        <v>6</v>
      </c>
      <c r="H27" t="s">
        <v>5</v>
      </c>
      <c r="I27" t="s">
        <v>6</v>
      </c>
      <c r="J27" t="s">
        <v>5</v>
      </c>
      <c r="K27" t="s">
        <v>6</v>
      </c>
      <c r="L27" t="s">
        <v>5</v>
      </c>
      <c r="M27" t="s">
        <v>6</v>
      </c>
      <c r="N27" t="s">
        <v>5</v>
      </c>
      <c r="O27" t="s">
        <v>6</v>
      </c>
      <c r="P27" t="s">
        <v>5</v>
      </c>
      <c r="Q27" t="s">
        <v>6</v>
      </c>
      <c r="R27" t="s">
        <v>5</v>
      </c>
      <c r="S27" t="s">
        <v>6</v>
      </c>
      <c r="T27" t="s">
        <v>5</v>
      </c>
      <c r="U27" t="s">
        <v>6</v>
      </c>
      <c r="V27" t="s">
        <v>5</v>
      </c>
      <c r="W27" t="s">
        <v>6</v>
      </c>
      <c r="X27" t="s">
        <v>5</v>
      </c>
      <c r="Y27" t="s">
        <v>6</v>
      </c>
      <c r="Z27" t="s">
        <v>5</v>
      </c>
      <c r="AA27" t="s">
        <v>6</v>
      </c>
      <c r="AB27" t="s">
        <v>5</v>
      </c>
      <c r="AC27" t="s">
        <v>6</v>
      </c>
      <c r="AD27" t="s">
        <v>5</v>
      </c>
      <c r="AE27" t="s">
        <v>6</v>
      </c>
      <c r="AF27" t="s">
        <v>5</v>
      </c>
      <c r="AG27" t="s">
        <v>6</v>
      </c>
      <c r="AH27" t="s">
        <v>5</v>
      </c>
      <c r="AI27" t="s">
        <v>6</v>
      </c>
      <c r="AJ27" t="s">
        <v>5</v>
      </c>
      <c r="AK27" t="s">
        <v>6</v>
      </c>
    </row>
    <row r="28" spans="1:37" x14ac:dyDescent="0.25">
      <c r="A28" t="s">
        <v>0</v>
      </c>
      <c r="B28">
        <v>4.95</v>
      </c>
      <c r="C28">
        <v>2.35</v>
      </c>
      <c r="D28">
        <v>6.4</v>
      </c>
      <c r="E28">
        <v>4.58</v>
      </c>
      <c r="F28">
        <v>5.28</v>
      </c>
      <c r="G28">
        <v>9.58</v>
      </c>
      <c r="H28">
        <v>3.15</v>
      </c>
      <c r="I28">
        <v>1.88</v>
      </c>
      <c r="J28">
        <v>6.66</v>
      </c>
      <c r="K28">
        <v>2.14</v>
      </c>
      <c r="L28">
        <v>2.0499999999999998</v>
      </c>
      <c r="M28">
        <v>8.5399999999999991</v>
      </c>
      <c r="N28">
        <v>1.37</v>
      </c>
      <c r="O28">
        <v>3.45</v>
      </c>
      <c r="P28">
        <v>2.77</v>
      </c>
      <c r="Q28">
        <v>1.46</v>
      </c>
      <c r="R28">
        <v>2.59</v>
      </c>
      <c r="S28">
        <v>2.74</v>
      </c>
      <c r="T28">
        <v>4.18</v>
      </c>
      <c r="U28">
        <v>2.21</v>
      </c>
      <c r="X28">
        <v>6.43</v>
      </c>
      <c r="Y28">
        <v>4.5</v>
      </c>
      <c r="Z28">
        <v>3.48</v>
      </c>
      <c r="AA28">
        <v>3.8</v>
      </c>
      <c r="AB28">
        <v>2.33</v>
      </c>
      <c r="AC28">
        <v>6.54</v>
      </c>
      <c r="AD28">
        <v>1.1499999999999999</v>
      </c>
      <c r="AE28">
        <v>3.88</v>
      </c>
      <c r="AF28">
        <v>6.02</v>
      </c>
      <c r="AG28">
        <v>3.84</v>
      </c>
      <c r="AH28">
        <v>3.52</v>
      </c>
      <c r="AI28">
        <v>3.96</v>
      </c>
      <c r="AJ28">
        <v>5.01</v>
      </c>
      <c r="AK28">
        <v>4.8</v>
      </c>
    </row>
    <row r="29" spans="1:37" x14ac:dyDescent="0.25">
      <c r="A29" t="s">
        <v>1</v>
      </c>
      <c r="B29">
        <v>3.98</v>
      </c>
      <c r="C29">
        <v>3.54</v>
      </c>
      <c r="D29">
        <v>3.43</v>
      </c>
      <c r="E29">
        <v>7.13</v>
      </c>
      <c r="F29">
        <v>8.92</v>
      </c>
      <c r="G29">
        <v>3.95</v>
      </c>
      <c r="H29">
        <v>2.11</v>
      </c>
      <c r="I29">
        <v>4.43</v>
      </c>
      <c r="J29">
        <v>2.91</v>
      </c>
      <c r="K29">
        <v>3.84</v>
      </c>
      <c r="L29">
        <v>2.4300000000000002</v>
      </c>
      <c r="M29">
        <v>2.95</v>
      </c>
      <c r="N29">
        <v>3.74</v>
      </c>
      <c r="O29">
        <v>4.2</v>
      </c>
      <c r="P29">
        <v>8.6</v>
      </c>
      <c r="Q29">
        <v>5.5</v>
      </c>
      <c r="R29">
        <v>4.91</v>
      </c>
      <c r="S29">
        <v>4.37</v>
      </c>
      <c r="T29">
        <v>5.34</v>
      </c>
      <c r="U29">
        <v>3.42</v>
      </c>
      <c r="X29">
        <v>4.0999999999999996</v>
      </c>
      <c r="Y29">
        <v>3.23</v>
      </c>
      <c r="Z29">
        <v>3.74</v>
      </c>
      <c r="AA29">
        <v>3.49</v>
      </c>
      <c r="AB29">
        <v>5.32</v>
      </c>
      <c r="AC29">
        <v>1.1399999999999999</v>
      </c>
      <c r="AD29">
        <v>2.38</v>
      </c>
      <c r="AE29">
        <v>1.23</v>
      </c>
      <c r="AF29">
        <v>3.73</v>
      </c>
      <c r="AG29">
        <v>6.18</v>
      </c>
      <c r="AH29">
        <v>2.84</v>
      </c>
      <c r="AI29">
        <v>4.41</v>
      </c>
      <c r="AJ29">
        <v>3.35</v>
      </c>
      <c r="AK29">
        <v>3.43</v>
      </c>
    </row>
    <row r="30" spans="1:37" x14ac:dyDescent="0.25">
      <c r="A30" t="s">
        <v>2</v>
      </c>
      <c r="B30">
        <v>3.81</v>
      </c>
      <c r="C30">
        <v>2.67</v>
      </c>
      <c r="D30">
        <v>3.89</v>
      </c>
      <c r="E30">
        <v>7.52</v>
      </c>
      <c r="F30">
        <v>7.47</v>
      </c>
      <c r="G30">
        <v>8.27</v>
      </c>
      <c r="H30">
        <v>4.28</v>
      </c>
      <c r="I30">
        <v>6.31</v>
      </c>
      <c r="J30">
        <v>3.65</v>
      </c>
      <c r="K30">
        <v>3.99</v>
      </c>
      <c r="L30">
        <v>2.46</v>
      </c>
      <c r="M30">
        <v>3.95</v>
      </c>
      <c r="N30">
        <v>4.0199999999999996</v>
      </c>
      <c r="O30">
        <v>3.71</v>
      </c>
      <c r="P30">
        <v>2.0099999999999998</v>
      </c>
      <c r="Q30">
        <v>2.89</v>
      </c>
      <c r="R30">
        <v>4.4800000000000004</v>
      </c>
      <c r="S30">
        <v>2.76</v>
      </c>
      <c r="T30">
        <v>5.3</v>
      </c>
      <c r="U30">
        <v>6.66</v>
      </c>
      <c r="X30">
        <v>7.06</v>
      </c>
      <c r="Y30">
        <v>4.72</v>
      </c>
      <c r="Z30">
        <v>2.5099999999999998</v>
      </c>
      <c r="AA30">
        <v>1.9</v>
      </c>
      <c r="AB30">
        <v>1.1100000000000001</v>
      </c>
      <c r="AC30">
        <v>1.91</v>
      </c>
      <c r="AD30">
        <v>1.98</v>
      </c>
      <c r="AE30">
        <v>1.98</v>
      </c>
      <c r="AF30">
        <v>4.17</v>
      </c>
      <c r="AG30">
        <v>3.86</v>
      </c>
      <c r="AH30">
        <v>3.59</v>
      </c>
      <c r="AI30">
        <v>1.1200000000000001</v>
      </c>
      <c r="AJ30">
        <v>1.82</v>
      </c>
      <c r="AK30">
        <v>3.36</v>
      </c>
    </row>
    <row r="31" spans="1:37" x14ac:dyDescent="0.25">
      <c r="A31" t="s">
        <v>3</v>
      </c>
      <c r="B31">
        <v>5.14</v>
      </c>
      <c r="C31">
        <v>5.69</v>
      </c>
      <c r="D31">
        <v>5.56</v>
      </c>
      <c r="E31">
        <v>8.33</v>
      </c>
      <c r="F31">
        <v>4.33</v>
      </c>
      <c r="G31">
        <v>4.62</v>
      </c>
      <c r="H31">
        <v>4.6100000000000003</v>
      </c>
      <c r="I31">
        <v>5.95</v>
      </c>
      <c r="J31">
        <v>1.43</v>
      </c>
      <c r="K31">
        <v>2.2200000000000002</v>
      </c>
      <c r="L31">
        <v>1.44</v>
      </c>
      <c r="M31">
        <v>2.9</v>
      </c>
      <c r="N31">
        <v>2.95</v>
      </c>
      <c r="O31">
        <v>1.86</v>
      </c>
      <c r="P31">
        <v>6.43</v>
      </c>
      <c r="Q31">
        <v>5.54</v>
      </c>
      <c r="R31">
        <v>4.17</v>
      </c>
      <c r="S31">
        <v>3.44</v>
      </c>
      <c r="T31">
        <v>5.05</v>
      </c>
      <c r="U31">
        <v>5.64</v>
      </c>
      <c r="X31">
        <v>3.36</v>
      </c>
      <c r="Y31">
        <v>5.0999999999999996</v>
      </c>
      <c r="Z31">
        <v>3.79</v>
      </c>
      <c r="AA31">
        <v>4.79</v>
      </c>
      <c r="AB31">
        <v>4.28</v>
      </c>
      <c r="AC31">
        <v>2.36</v>
      </c>
      <c r="AD31">
        <v>3.26</v>
      </c>
      <c r="AE31">
        <v>3.7</v>
      </c>
      <c r="AF31">
        <v>3.81</v>
      </c>
      <c r="AG31">
        <v>4.18</v>
      </c>
      <c r="AH31">
        <v>4.03</v>
      </c>
      <c r="AI31">
        <v>2.8</v>
      </c>
      <c r="AJ31">
        <v>3.71</v>
      </c>
      <c r="AK31">
        <v>4.09</v>
      </c>
    </row>
    <row r="32" spans="1:37" x14ac:dyDescent="0.25">
      <c r="A32" t="s">
        <v>4</v>
      </c>
      <c r="B32">
        <v>7.5</v>
      </c>
      <c r="C32">
        <v>4.07</v>
      </c>
      <c r="D32">
        <v>6.16</v>
      </c>
      <c r="E32">
        <v>4.3899999999999997</v>
      </c>
      <c r="F32">
        <v>9.3800000000000008</v>
      </c>
      <c r="G32">
        <v>5.69</v>
      </c>
      <c r="H32">
        <v>7.8</v>
      </c>
      <c r="I32">
        <v>5.65</v>
      </c>
      <c r="J32">
        <v>4.08</v>
      </c>
      <c r="K32">
        <v>2.81</v>
      </c>
      <c r="L32">
        <v>2.54</v>
      </c>
      <c r="M32">
        <v>1.53</v>
      </c>
      <c r="N32">
        <v>6.85</v>
      </c>
      <c r="O32">
        <v>3.33</v>
      </c>
      <c r="P32">
        <v>2.06</v>
      </c>
      <c r="Q32">
        <v>4.54</v>
      </c>
      <c r="R32">
        <v>6.98</v>
      </c>
      <c r="S32">
        <v>3.55</v>
      </c>
      <c r="T32">
        <v>3.37</v>
      </c>
      <c r="U32">
        <v>1.88</v>
      </c>
      <c r="X32">
        <v>2.5</v>
      </c>
      <c r="Y32">
        <v>3.18</v>
      </c>
      <c r="Z32">
        <v>4.28</v>
      </c>
      <c r="AA32">
        <v>2.85</v>
      </c>
      <c r="AB32">
        <v>4.8</v>
      </c>
      <c r="AC32">
        <v>1.61</v>
      </c>
      <c r="AD32">
        <v>3.35</v>
      </c>
      <c r="AE32">
        <v>2.2799999999999998</v>
      </c>
      <c r="AF32">
        <v>3.76</v>
      </c>
      <c r="AG32">
        <v>3.71</v>
      </c>
      <c r="AH32">
        <v>3.87</v>
      </c>
      <c r="AI32">
        <v>3.29</v>
      </c>
      <c r="AJ32">
        <v>2.17</v>
      </c>
      <c r="AK32">
        <v>2.65</v>
      </c>
    </row>
    <row r="33" spans="1:37" x14ac:dyDescent="0.25">
      <c r="A33" s="1">
        <v>45548</v>
      </c>
    </row>
    <row r="34" spans="1:37" x14ac:dyDescent="0.25">
      <c r="B34" t="s">
        <v>7</v>
      </c>
      <c r="D34" t="s">
        <v>8</v>
      </c>
      <c r="F34" t="s">
        <v>9</v>
      </c>
      <c r="H34" t="s">
        <v>10</v>
      </c>
      <c r="J34" t="s">
        <v>11</v>
      </c>
      <c r="L34" t="s">
        <v>12</v>
      </c>
      <c r="N34" t="s">
        <v>13</v>
      </c>
      <c r="P34" t="s">
        <v>14</v>
      </c>
      <c r="R34" t="s">
        <v>15</v>
      </c>
      <c r="T34" t="s">
        <v>16</v>
      </c>
      <c r="V34" t="s">
        <v>17</v>
      </c>
      <c r="X34" t="s">
        <v>18</v>
      </c>
      <c r="Z34" t="s">
        <v>19</v>
      </c>
      <c r="AB34" t="s">
        <v>20</v>
      </c>
      <c r="AD34" t="s">
        <v>21</v>
      </c>
      <c r="AF34" t="s">
        <v>22</v>
      </c>
      <c r="AH34" t="s">
        <v>23</v>
      </c>
      <c r="AJ34" t="s">
        <v>24</v>
      </c>
    </row>
    <row r="35" spans="1:37" x14ac:dyDescent="0.25">
      <c r="B35" t="s">
        <v>5</v>
      </c>
      <c r="C35" t="s">
        <v>6</v>
      </c>
      <c r="D35" t="s">
        <v>5</v>
      </c>
      <c r="E35" t="s">
        <v>6</v>
      </c>
      <c r="F35" t="s">
        <v>5</v>
      </c>
      <c r="G35" t="s">
        <v>6</v>
      </c>
      <c r="H35" t="s">
        <v>5</v>
      </c>
      <c r="I35" t="s">
        <v>6</v>
      </c>
      <c r="J35" t="s">
        <v>5</v>
      </c>
      <c r="K35" t="s">
        <v>6</v>
      </c>
      <c r="L35" t="s">
        <v>5</v>
      </c>
      <c r="M35" t="s">
        <v>6</v>
      </c>
      <c r="N35" t="s">
        <v>5</v>
      </c>
      <c r="O35" t="s">
        <v>6</v>
      </c>
      <c r="P35" t="s">
        <v>5</v>
      </c>
      <c r="Q35" t="s">
        <v>6</v>
      </c>
      <c r="R35" t="s">
        <v>5</v>
      </c>
      <c r="S35" t="s">
        <v>6</v>
      </c>
      <c r="T35" t="s">
        <v>5</v>
      </c>
      <c r="U35" t="s">
        <v>6</v>
      </c>
      <c r="V35" t="s">
        <v>5</v>
      </c>
      <c r="W35" t="s">
        <v>6</v>
      </c>
      <c r="X35" t="s">
        <v>5</v>
      </c>
      <c r="Y35" t="s">
        <v>6</v>
      </c>
      <c r="Z35" t="s">
        <v>5</v>
      </c>
      <c r="AA35" t="s">
        <v>6</v>
      </c>
      <c r="AB35" t="s">
        <v>5</v>
      </c>
      <c r="AC35" t="s">
        <v>6</v>
      </c>
      <c r="AD35" t="s">
        <v>5</v>
      </c>
      <c r="AE35" t="s">
        <v>6</v>
      </c>
      <c r="AF35" t="s">
        <v>5</v>
      </c>
      <c r="AG35" t="s">
        <v>6</v>
      </c>
      <c r="AH35" t="s">
        <v>5</v>
      </c>
      <c r="AI35" t="s">
        <v>6</v>
      </c>
      <c r="AJ35" t="s">
        <v>5</v>
      </c>
      <c r="AK35" t="s">
        <v>6</v>
      </c>
    </row>
    <row r="36" spans="1:37" x14ac:dyDescent="0.25">
      <c r="A36" t="s">
        <v>0</v>
      </c>
      <c r="B36">
        <v>2.5299999999999998</v>
      </c>
      <c r="C36">
        <v>7.25</v>
      </c>
      <c r="D36">
        <v>3.59</v>
      </c>
      <c r="E36">
        <v>3.25</v>
      </c>
      <c r="F36">
        <v>6.36</v>
      </c>
      <c r="G36">
        <v>4.95</v>
      </c>
      <c r="H36">
        <v>1.04</v>
      </c>
      <c r="I36">
        <v>2.89</v>
      </c>
      <c r="J36">
        <v>2.62</v>
      </c>
      <c r="K36">
        <v>1.88</v>
      </c>
      <c r="L36">
        <v>2.92</v>
      </c>
      <c r="M36">
        <v>1.22</v>
      </c>
      <c r="N36">
        <v>1.54</v>
      </c>
      <c r="O36">
        <v>0.93</v>
      </c>
      <c r="P36">
        <v>2.96</v>
      </c>
      <c r="Q36">
        <v>6.62</v>
      </c>
      <c r="R36">
        <v>0.84</v>
      </c>
      <c r="S36">
        <v>1.89</v>
      </c>
      <c r="T36">
        <v>5.26</v>
      </c>
      <c r="U36">
        <v>1.97</v>
      </c>
      <c r="X36">
        <v>2.79</v>
      </c>
      <c r="Y36">
        <v>1.79</v>
      </c>
      <c r="Z36">
        <v>1.83</v>
      </c>
      <c r="AA36">
        <v>2.15</v>
      </c>
      <c r="AB36">
        <v>2.12</v>
      </c>
      <c r="AC36">
        <v>2.08</v>
      </c>
      <c r="AD36">
        <v>6.69</v>
      </c>
      <c r="AE36">
        <v>2.92</v>
      </c>
      <c r="AF36">
        <v>4.9800000000000004</v>
      </c>
      <c r="AG36">
        <v>2.8</v>
      </c>
      <c r="AH36">
        <v>1.92</v>
      </c>
      <c r="AI36">
        <v>3.87</v>
      </c>
      <c r="AJ36">
        <v>1.75</v>
      </c>
      <c r="AK36">
        <v>1.35</v>
      </c>
    </row>
    <row r="37" spans="1:37" x14ac:dyDescent="0.25">
      <c r="A37" t="s">
        <v>1</v>
      </c>
      <c r="B37">
        <v>4.3099999999999996</v>
      </c>
      <c r="C37">
        <v>2.67</v>
      </c>
      <c r="D37">
        <v>9.82</v>
      </c>
      <c r="E37">
        <v>6.2</v>
      </c>
      <c r="F37">
        <v>6.16</v>
      </c>
      <c r="G37">
        <v>5.05</v>
      </c>
      <c r="H37">
        <v>3.4</v>
      </c>
      <c r="I37">
        <v>1.01</v>
      </c>
      <c r="J37">
        <v>8.3699999999999992</v>
      </c>
      <c r="K37">
        <v>5.93</v>
      </c>
      <c r="L37">
        <v>1.02</v>
      </c>
      <c r="M37">
        <v>6.23</v>
      </c>
      <c r="N37">
        <v>1.24</v>
      </c>
      <c r="O37">
        <v>3.96</v>
      </c>
      <c r="P37">
        <v>1.92</v>
      </c>
      <c r="Q37">
        <v>2.95</v>
      </c>
      <c r="R37">
        <v>1.1000000000000001</v>
      </c>
      <c r="S37">
        <v>3.86</v>
      </c>
      <c r="T37">
        <v>4.72</v>
      </c>
      <c r="U37">
        <v>4.67</v>
      </c>
      <c r="X37">
        <v>1.3</v>
      </c>
      <c r="Y37">
        <v>5.59</v>
      </c>
      <c r="Z37">
        <v>1.84</v>
      </c>
      <c r="AA37">
        <v>2.06</v>
      </c>
      <c r="AB37">
        <v>3.47</v>
      </c>
      <c r="AC37">
        <v>5.15</v>
      </c>
      <c r="AD37">
        <v>2.88</v>
      </c>
      <c r="AE37">
        <v>1.81</v>
      </c>
      <c r="AF37">
        <v>7.25</v>
      </c>
      <c r="AG37">
        <v>1.7</v>
      </c>
      <c r="AH37">
        <v>1.39</v>
      </c>
      <c r="AI37">
        <v>2.93</v>
      </c>
      <c r="AJ37">
        <v>1.44</v>
      </c>
      <c r="AK37">
        <v>0.56999999999999995</v>
      </c>
    </row>
    <row r="38" spans="1:37" x14ac:dyDescent="0.25">
      <c r="A38" t="s">
        <v>2</v>
      </c>
      <c r="B38">
        <v>4.07</v>
      </c>
      <c r="C38">
        <v>3.23</v>
      </c>
      <c r="D38">
        <v>7.52</v>
      </c>
      <c r="E38">
        <v>7.06</v>
      </c>
      <c r="F38">
        <v>10.54</v>
      </c>
      <c r="G38">
        <v>5.41</v>
      </c>
      <c r="H38">
        <v>11.45</v>
      </c>
      <c r="I38">
        <v>4.7699999999999996</v>
      </c>
      <c r="J38">
        <v>7.24</v>
      </c>
      <c r="K38">
        <v>6.78</v>
      </c>
      <c r="L38">
        <v>6.04</v>
      </c>
      <c r="M38">
        <v>1.01</v>
      </c>
      <c r="N38">
        <v>0.54</v>
      </c>
      <c r="O38">
        <v>1.35</v>
      </c>
      <c r="P38">
        <v>6.1</v>
      </c>
      <c r="Q38">
        <v>5.04</v>
      </c>
      <c r="R38">
        <v>2.6</v>
      </c>
      <c r="S38">
        <v>1.83</v>
      </c>
      <c r="T38">
        <v>3.98</v>
      </c>
      <c r="U38">
        <v>2.63</v>
      </c>
      <c r="X38">
        <v>2.85</v>
      </c>
      <c r="Y38">
        <v>3.58</v>
      </c>
      <c r="Z38">
        <v>4.93</v>
      </c>
      <c r="AA38">
        <v>6.36</v>
      </c>
      <c r="AB38">
        <v>5.35</v>
      </c>
      <c r="AC38">
        <v>7.18</v>
      </c>
      <c r="AD38">
        <v>1.88</v>
      </c>
      <c r="AE38">
        <v>4.8600000000000003</v>
      </c>
      <c r="AF38">
        <v>3.26</v>
      </c>
      <c r="AG38">
        <v>0.96</v>
      </c>
      <c r="AH38">
        <v>0.31</v>
      </c>
      <c r="AI38">
        <v>2.54</v>
      </c>
      <c r="AJ38">
        <v>1.87</v>
      </c>
      <c r="AK38">
        <v>2.09</v>
      </c>
    </row>
    <row r="39" spans="1:37" x14ac:dyDescent="0.25">
      <c r="A39" t="s">
        <v>3</v>
      </c>
      <c r="B39">
        <v>4.4000000000000004</v>
      </c>
      <c r="C39">
        <v>2.2599999999999998</v>
      </c>
      <c r="D39">
        <v>3.51</v>
      </c>
      <c r="E39">
        <v>2.54</v>
      </c>
      <c r="F39">
        <v>2.0699999999999998</v>
      </c>
      <c r="G39">
        <v>10.18</v>
      </c>
      <c r="H39">
        <v>5.4</v>
      </c>
      <c r="I39">
        <v>5.56</v>
      </c>
      <c r="J39">
        <v>10.3</v>
      </c>
      <c r="K39">
        <v>3.78</v>
      </c>
      <c r="L39">
        <v>5.19</v>
      </c>
      <c r="M39">
        <v>6.18</v>
      </c>
      <c r="N39">
        <v>5.33</v>
      </c>
      <c r="O39">
        <v>0.34</v>
      </c>
      <c r="P39">
        <v>7.79</v>
      </c>
      <c r="Q39">
        <v>1.07</v>
      </c>
      <c r="R39">
        <v>2.61</v>
      </c>
      <c r="S39">
        <v>1.33</v>
      </c>
      <c r="T39">
        <v>7.64</v>
      </c>
      <c r="U39">
        <v>2.88</v>
      </c>
      <c r="X39">
        <v>1.82</v>
      </c>
      <c r="Y39">
        <v>1.29</v>
      </c>
      <c r="Z39">
        <v>3.72</v>
      </c>
      <c r="AA39">
        <v>1.74</v>
      </c>
      <c r="AB39">
        <v>2.23</v>
      </c>
      <c r="AC39">
        <v>6</v>
      </c>
      <c r="AD39">
        <v>0.48</v>
      </c>
      <c r="AE39">
        <v>1.53</v>
      </c>
      <c r="AF39">
        <v>1.41</v>
      </c>
      <c r="AG39">
        <v>2.68</v>
      </c>
      <c r="AH39">
        <v>4.95</v>
      </c>
      <c r="AI39">
        <v>6.06</v>
      </c>
      <c r="AJ39">
        <v>3.18</v>
      </c>
      <c r="AK39">
        <v>0.77</v>
      </c>
    </row>
    <row r="40" spans="1:37" x14ac:dyDescent="0.25">
      <c r="A40" t="s">
        <v>4</v>
      </c>
      <c r="B40">
        <v>6.89</v>
      </c>
      <c r="C40">
        <v>1.7</v>
      </c>
      <c r="D40">
        <v>4.0599999999999996</v>
      </c>
      <c r="E40">
        <v>8.75</v>
      </c>
      <c r="F40">
        <v>9.2100000000000009</v>
      </c>
      <c r="G40">
        <v>5.19</v>
      </c>
      <c r="H40">
        <v>2.02</v>
      </c>
      <c r="I40">
        <v>10.83</v>
      </c>
      <c r="J40">
        <v>2.73</v>
      </c>
      <c r="K40">
        <v>1.34</v>
      </c>
      <c r="L40">
        <v>1.64</v>
      </c>
      <c r="M40">
        <v>5.2</v>
      </c>
      <c r="N40">
        <v>1.8</v>
      </c>
      <c r="O40">
        <v>4.99</v>
      </c>
      <c r="P40">
        <v>3.35</v>
      </c>
      <c r="Q40">
        <v>3.39</v>
      </c>
      <c r="R40">
        <v>2.5499999999999998</v>
      </c>
      <c r="S40">
        <v>5.86</v>
      </c>
      <c r="T40">
        <v>1.95</v>
      </c>
      <c r="U40">
        <v>4.33</v>
      </c>
      <c r="X40">
        <v>3.65</v>
      </c>
      <c r="Y40">
        <v>0.82</v>
      </c>
      <c r="Z40">
        <v>4.95</v>
      </c>
      <c r="AA40">
        <v>3.82</v>
      </c>
      <c r="AB40">
        <v>7</v>
      </c>
      <c r="AC40">
        <v>3.64</v>
      </c>
      <c r="AD40">
        <v>3.85</v>
      </c>
      <c r="AE40">
        <v>2.12</v>
      </c>
      <c r="AF40">
        <v>1.54</v>
      </c>
      <c r="AG40">
        <v>3.82</v>
      </c>
      <c r="AH40">
        <v>1.61</v>
      </c>
      <c r="AI40">
        <v>6.67</v>
      </c>
      <c r="AJ40">
        <v>3.59</v>
      </c>
      <c r="AK40">
        <v>6.26</v>
      </c>
    </row>
    <row r="41" spans="1:37" x14ac:dyDescent="0.25">
      <c r="A41" s="1">
        <v>45561</v>
      </c>
    </row>
    <row r="42" spans="1:37" x14ac:dyDescent="0.25">
      <c r="B42" t="s">
        <v>7</v>
      </c>
      <c r="D42" t="s">
        <v>8</v>
      </c>
      <c r="F42" t="s">
        <v>9</v>
      </c>
      <c r="H42" t="s">
        <v>10</v>
      </c>
      <c r="J42" t="s">
        <v>11</v>
      </c>
      <c r="L42" t="s">
        <v>12</v>
      </c>
      <c r="N42" t="s">
        <v>13</v>
      </c>
      <c r="P42" t="s">
        <v>14</v>
      </c>
      <c r="R42" t="s">
        <v>15</v>
      </c>
      <c r="T42" t="s">
        <v>16</v>
      </c>
      <c r="V42" t="s">
        <v>17</v>
      </c>
      <c r="X42" t="s">
        <v>18</v>
      </c>
      <c r="Z42" t="s">
        <v>19</v>
      </c>
      <c r="AB42" t="s">
        <v>20</v>
      </c>
      <c r="AD42" t="s">
        <v>21</v>
      </c>
      <c r="AF42" t="s">
        <v>22</v>
      </c>
      <c r="AH42" t="s">
        <v>23</v>
      </c>
      <c r="AJ42" t="s">
        <v>24</v>
      </c>
    </row>
    <row r="43" spans="1:37" x14ac:dyDescent="0.25">
      <c r="B43" t="s">
        <v>5</v>
      </c>
      <c r="C43" t="s">
        <v>6</v>
      </c>
      <c r="D43" t="s">
        <v>5</v>
      </c>
      <c r="E43" t="s">
        <v>6</v>
      </c>
      <c r="F43" t="s">
        <v>5</v>
      </c>
      <c r="G43" t="s">
        <v>6</v>
      </c>
      <c r="H43" t="s">
        <v>5</v>
      </c>
      <c r="I43" t="s">
        <v>6</v>
      </c>
      <c r="J43" t="s">
        <v>5</v>
      </c>
      <c r="K43" t="s">
        <v>6</v>
      </c>
      <c r="L43" t="s">
        <v>5</v>
      </c>
      <c r="M43" t="s">
        <v>6</v>
      </c>
      <c r="N43" t="s">
        <v>5</v>
      </c>
      <c r="O43" t="s">
        <v>6</v>
      </c>
      <c r="P43" t="s">
        <v>5</v>
      </c>
      <c r="Q43" t="s">
        <v>6</v>
      </c>
      <c r="R43" t="s">
        <v>5</v>
      </c>
      <c r="S43" t="s">
        <v>6</v>
      </c>
      <c r="T43" t="s">
        <v>5</v>
      </c>
      <c r="U43" t="s">
        <v>6</v>
      </c>
      <c r="V43" t="s">
        <v>5</v>
      </c>
      <c r="W43" t="s">
        <v>6</v>
      </c>
      <c r="X43" t="s">
        <v>5</v>
      </c>
      <c r="Y43" t="s">
        <v>6</v>
      </c>
      <c r="Z43" t="s">
        <v>5</v>
      </c>
      <c r="AA43" t="s">
        <v>6</v>
      </c>
      <c r="AB43" t="s">
        <v>5</v>
      </c>
      <c r="AC43" t="s">
        <v>6</v>
      </c>
      <c r="AD43" t="s">
        <v>5</v>
      </c>
      <c r="AE43" t="s">
        <v>6</v>
      </c>
      <c r="AF43" t="s">
        <v>5</v>
      </c>
      <c r="AG43" t="s">
        <v>6</v>
      </c>
      <c r="AH43" t="s">
        <v>5</v>
      </c>
      <c r="AI43" t="s">
        <v>6</v>
      </c>
      <c r="AJ43" t="s">
        <v>5</v>
      </c>
      <c r="AK43" t="s">
        <v>6</v>
      </c>
    </row>
    <row r="44" spans="1:37" x14ac:dyDescent="0.25">
      <c r="A44" t="s">
        <v>0</v>
      </c>
      <c r="B44">
        <v>8.1300000000000008</v>
      </c>
      <c r="C44">
        <v>5.51</v>
      </c>
      <c r="D44">
        <v>2.5099999999999998</v>
      </c>
      <c r="E44">
        <v>9.57</v>
      </c>
      <c r="F44">
        <v>5.66</v>
      </c>
      <c r="G44">
        <v>4.2699999999999996</v>
      </c>
      <c r="H44">
        <v>4.88</v>
      </c>
      <c r="I44">
        <v>4.1900000000000004</v>
      </c>
      <c r="J44">
        <v>3.85</v>
      </c>
      <c r="K44">
        <v>10.99</v>
      </c>
      <c r="L44">
        <v>4.53</v>
      </c>
      <c r="M44">
        <v>8.91</v>
      </c>
      <c r="N44">
        <v>2.81</v>
      </c>
      <c r="O44">
        <v>2.0699999999999998</v>
      </c>
      <c r="P44">
        <v>8.14</v>
      </c>
      <c r="Q44">
        <v>1.51</v>
      </c>
      <c r="R44">
        <v>3.14</v>
      </c>
      <c r="S44">
        <v>5.74</v>
      </c>
      <c r="T44">
        <v>6.29</v>
      </c>
      <c r="U44">
        <v>4.21</v>
      </c>
      <c r="X44">
        <v>4.62</v>
      </c>
      <c r="Y44">
        <v>4.37</v>
      </c>
      <c r="Z44">
        <v>2</v>
      </c>
      <c r="AA44">
        <v>4.59</v>
      </c>
      <c r="AB44">
        <v>1.3</v>
      </c>
      <c r="AC44">
        <v>7.38</v>
      </c>
      <c r="AD44">
        <v>4.5199999999999996</v>
      </c>
      <c r="AE44">
        <v>7.3</v>
      </c>
      <c r="AF44">
        <v>2.66</v>
      </c>
      <c r="AG44">
        <v>4.76</v>
      </c>
      <c r="AH44">
        <v>1.78</v>
      </c>
      <c r="AI44">
        <v>1.28</v>
      </c>
      <c r="AJ44">
        <v>2.78</v>
      </c>
      <c r="AK44">
        <v>2.81</v>
      </c>
    </row>
    <row r="45" spans="1:37" x14ac:dyDescent="0.25">
      <c r="A45" t="s">
        <v>1</v>
      </c>
      <c r="B45">
        <v>4.18</v>
      </c>
      <c r="C45">
        <v>7.34</v>
      </c>
      <c r="D45">
        <v>6.2</v>
      </c>
      <c r="E45">
        <v>2.21</v>
      </c>
      <c r="F45">
        <v>8.91</v>
      </c>
      <c r="G45">
        <v>2.97</v>
      </c>
      <c r="H45">
        <v>3.47</v>
      </c>
      <c r="I45">
        <v>2.57</v>
      </c>
      <c r="J45">
        <v>5.7</v>
      </c>
      <c r="K45">
        <v>5.81</v>
      </c>
      <c r="L45">
        <v>4</v>
      </c>
      <c r="M45">
        <v>5.57</v>
      </c>
      <c r="N45">
        <v>0.93</v>
      </c>
      <c r="O45">
        <v>4.41</v>
      </c>
      <c r="P45">
        <v>2.06</v>
      </c>
      <c r="Q45">
        <v>4.38</v>
      </c>
      <c r="R45">
        <v>11.5</v>
      </c>
      <c r="S45">
        <v>5.35</v>
      </c>
      <c r="T45">
        <v>7.63</v>
      </c>
      <c r="U45">
        <v>5.0599999999999996</v>
      </c>
      <c r="X45">
        <v>4.7300000000000004</v>
      </c>
      <c r="Y45">
        <v>4.07</v>
      </c>
      <c r="Z45">
        <v>5.32</v>
      </c>
      <c r="AA45">
        <v>2.0099999999999998</v>
      </c>
      <c r="AB45">
        <v>2.56</v>
      </c>
      <c r="AC45">
        <v>0.79</v>
      </c>
      <c r="AD45">
        <v>2.7</v>
      </c>
      <c r="AE45">
        <v>1.57</v>
      </c>
      <c r="AF45">
        <v>2.04</v>
      </c>
      <c r="AG45">
        <v>10.19</v>
      </c>
      <c r="AH45">
        <v>1.55</v>
      </c>
      <c r="AI45">
        <v>6.47</v>
      </c>
      <c r="AJ45">
        <v>3.5</v>
      </c>
      <c r="AK45">
        <v>1.97</v>
      </c>
    </row>
    <row r="46" spans="1:37" x14ac:dyDescent="0.25">
      <c r="A46" t="s">
        <v>2</v>
      </c>
      <c r="B46">
        <v>5.95</v>
      </c>
      <c r="C46">
        <v>5.84</v>
      </c>
      <c r="D46">
        <v>3.95</v>
      </c>
      <c r="E46">
        <v>4.5599999999999996</v>
      </c>
      <c r="F46">
        <v>1.42</v>
      </c>
      <c r="G46">
        <v>7.9</v>
      </c>
      <c r="H46">
        <v>3.57</v>
      </c>
      <c r="I46">
        <v>6.93</v>
      </c>
      <c r="J46">
        <v>2.84</v>
      </c>
      <c r="K46">
        <v>3.53</v>
      </c>
      <c r="L46">
        <v>6.79</v>
      </c>
      <c r="M46">
        <v>5.88</v>
      </c>
      <c r="N46">
        <v>0.77</v>
      </c>
      <c r="O46">
        <v>2.72</v>
      </c>
      <c r="P46">
        <v>2.17</v>
      </c>
      <c r="Q46">
        <v>4.2</v>
      </c>
      <c r="R46">
        <v>6.04</v>
      </c>
      <c r="S46">
        <v>2.1800000000000002</v>
      </c>
      <c r="T46">
        <v>8.4499999999999993</v>
      </c>
      <c r="U46">
        <v>9.57</v>
      </c>
      <c r="X46">
        <v>6.93</v>
      </c>
      <c r="Y46">
        <v>1.07</v>
      </c>
      <c r="Z46">
        <v>8.36</v>
      </c>
      <c r="AA46">
        <v>1.6</v>
      </c>
      <c r="AB46">
        <v>2.76</v>
      </c>
      <c r="AC46">
        <v>1.65</v>
      </c>
      <c r="AD46">
        <v>4.4400000000000004</v>
      </c>
      <c r="AE46">
        <v>1.95</v>
      </c>
      <c r="AF46">
        <v>6</v>
      </c>
      <c r="AG46">
        <v>4.41</v>
      </c>
      <c r="AH46">
        <v>5.13</v>
      </c>
      <c r="AI46">
        <v>9.18</v>
      </c>
      <c r="AJ46">
        <v>3.75</v>
      </c>
      <c r="AK46">
        <v>3.27</v>
      </c>
    </row>
    <row r="47" spans="1:37" x14ac:dyDescent="0.25">
      <c r="A47" t="s">
        <v>3</v>
      </c>
      <c r="B47">
        <v>6.83</v>
      </c>
      <c r="C47">
        <v>3.18</v>
      </c>
      <c r="D47">
        <v>7.52</v>
      </c>
      <c r="E47">
        <v>7.38</v>
      </c>
      <c r="F47">
        <v>8.76</v>
      </c>
      <c r="G47">
        <v>11.41</v>
      </c>
      <c r="H47">
        <v>6.34</v>
      </c>
      <c r="I47">
        <v>2.57</v>
      </c>
      <c r="J47">
        <v>5.91</v>
      </c>
      <c r="K47">
        <v>5.43</v>
      </c>
      <c r="L47">
        <v>2.04</v>
      </c>
      <c r="M47">
        <v>1.52</v>
      </c>
      <c r="N47">
        <v>4.34</v>
      </c>
      <c r="O47">
        <v>2.33</v>
      </c>
      <c r="P47">
        <v>8.2799999999999994</v>
      </c>
      <c r="Q47">
        <v>4.71</v>
      </c>
      <c r="R47">
        <v>2.36</v>
      </c>
      <c r="S47">
        <v>1.51</v>
      </c>
      <c r="T47">
        <v>8.4700000000000006</v>
      </c>
      <c r="U47">
        <v>5.48</v>
      </c>
      <c r="X47">
        <v>6.04</v>
      </c>
      <c r="Y47">
        <v>2.59</v>
      </c>
      <c r="Z47">
        <v>1.47</v>
      </c>
      <c r="AA47">
        <v>3.65</v>
      </c>
      <c r="AB47">
        <v>1.54</v>
      </c>
      <c r="AC47">
        <v>0.86</v>
      </c>
      <c r="AD47">
        <v>1.55</v>
      </c>
      <c r="AE47">
        <v>1.1499999999999999</v>
      </c>
      <c r="AF47">
        <v>2.56</v>
      </c>
      <c r="AG47">
        <v>6.01</v>
      </c>
      <c r="AH47">
        <v>4.33</v>
      </c>
      <c r="AI47">
        <v>4.75</v>
      </c>
      <c r="AJ47">
        <v>1.31</v>
      </c>
      <c r="AK47">
        <v>2.85</v>
      </c>
    </row>
    <row r="48" spans="1:37" x14ac:dyDescent="0.25">
      <c r="A48" t="s">
        <v>4</v>
      </c>
      <c r="B48">
        <v>6.14</v>
      </c>
      <c r="C48">
        <v>1.56</v>
      </c>
      <c r="D48">
        <v>0.64</v>
      </c>
      <c r="E48">
        <v>2.67</v>
      </c>
      <c r="F48">
        <v>5.81</v>
      </c>
      <c r="G48">
        <v>9.5500000000000007</v>
      </c>
      <c r="H48">
        <v>4.21</v>
      </c>
      <c r="I48">
        <v>6.62</v>
      </c>
      <c r="J48">
        <v>3.92</v>
      </c>
      <c r="K48">
        <v>5.12</v>
      </c>
      <c r="L48">
        <v>2.7</v>
      </c>
      <c r="M48">
        <v>5.2</v>
      </c>
      <c r="N48">
        <v>3.65</v>
      </c>
      <c r="O48">
        <v>8.68</v>
      </c>
      <c r="P48">
        <v>2.94</v>
      </c>
      <c r="Q48">
        <v>5.24</v>
      </c>
      <c r="R48">
        <v>1.64</v>
      </c>
      <c r="S48">
        <v>5.3</v>
      </c>
      <c r="T48">
        <v>5.09</v>
      </c>
      <c r="U48">
        <v>2.36</v>
      </c>
      <c r="X48">
        <v>3.01</v>
      </c>
      <c r="Y48">
        <v>5.09</v>
      </c>
      <c r="Z48">
        <v>7.53</v>
      </c>
      <c r="AA48">
        <v>2.92</v>
      </c>
      <c r="AB48">
        <v>4.93</v>
      </c>
      <c r="AC48">
        <v>3.65</v>
      </c>
      <c r="AD48">
        <v>6.54</v>
      </c>
      <c r="AE48">
        <v>4.8099999999999996</v>
      </c>
      <c r="AF48">
        <v>6.93</v>
      </c>
      <c r="AG48">
        <v>2.6</v>
      </c>
      <c r="AH48">
        <v>2.71</v>
      </c>
      <c r="AI48">
        <v>1.58</v>
      </c>
      <c r="AJ48">
        <v>6.02</v>
      </c>
      <c r="AK48">
        <v>1.17</v>
      </c>
    </row>
    <row r="49" spans="1:37" x14ac:dyDescent="0.25">
      <c r="A49" s="1">
        <v>45568</v>
      </c>
    </row>
    <row r="50" spans="1:37" x14ac:dyDescent="0.25">
      <c r="B50" t="s">
        <v>7</v>
      </c>
      <c r="D50" t="s">
        <v>8</v>
      </c>
      <c r="F50" t="s">
        <v>9</v>
      </c>
      <c r="H50" t="s">
        <v>10</v>
      </c>
      <c r="J50" t="s">
        <v>11</v>
      </c>
      <c r="L50" t="s">
        <v>12</v>
      </c>
      <c r="N50" t="s">
        <v>13</v>
      </c>
      <c r="P50" t="s">
        <v>14</v>
      </c>
      <c r="R50" t="s">
        <v>15</v>
      </c>
      <c r="T50" t="s">
        <v>16</v>
      </c>
      <c r="V50" t="s">
        <v>17</v>
      </c>
      <c r="X50" t="s">
        <v>18</v>
      </c>
      <c r="Z50" t="s">
        <v>19</v>
      </c>
      <c r="AB50" t="s">
        <v>20</v>
      </c>
      <c r="AD50" t="s">
        <v>21</v>
      </c>
      <c r="AF50" t="s">
        <v>22</v>
      </c>
      <c r="AH50" t="s">
        <v>23</v>
      </c>
      <c r="AJ50" t="s">
        <v>24</v>
      </c>
    </row>
    <row r="51" spans="1:37" x14ac:dyDescent="0.25">
      <c r="B51" t="s">
        <v>5</v>
      </c>
      <c r="C51" t="s">
        <v>6</v>
      </c>
      <c r="D51" t="s">
        <v>5</v>
      </c>
      <c r="E51" t="s">
        <v>6</v>
      </c>
      <c r="F51" t="s">
        <v>5</v>
      </c>
      <c r="G51" t="s">
        <v>6</v>
      </c>
      <c r="H51" t="s">
        <v>5</v>
      </c>
      <c r="I51" t="s">
        <v>6</v>
      </c>
      <c r="J51" t="s">
        <v>5</v>
      </c>
      <c r="K51" t="s">
        <v>6</v>
      </c>
      <c r="L51" t="s">
        <v>5</v>
      </c>
      <c r="M51" t="s">
        <v>6</v>
      </c>
      <c r="N51" t="s">
        <v>5</v>
      </c>
      <c r="O51" t="s">
        <v>6</v>
      </c>
      <c r="P51" t="s">
        <v>5</v>
      </c>
      <c r="Q51" t="s">
        <v>6</v>
      </c>
      <c r="R51" t="s">
        <v>5</v>
      </c>
      <c r="S51" t="s">
        <v>6</v>
      </c>
      <c r="T51" t="s">
        <v>5</v>
      </c>
      <c r="U51" t="s">
        <v>6</v>
      </c>
      <c r="V51" t="s">
        <v>5</v>
      </c>
      <c r="W51" t="s">
        <v>6</v>
      </c>
      <c r="X51" t="s">
        <v>5</v>
      </c>
      <c r="Y51" t="s">
        <v>6</v>
      </c>
      <c r="Z51" t="s">
        <v>5</v>
      </c>
      <c r="AA51" t="s">
        <v>6</v>
      </c>
      <c r="AB51" t="s">
        <v>5</v>
      </c>
      <c r="AC51" t="s">
        <v>6</v>
      </c>
      <c r="AD51" t="s">
        <v>5</v>
      </c>
      <c r="AE51" t="s">
        <v>6</v>
      </c>
      <c r="AF51" t="s">
        <v>5</v>
      </c>
      <c r="AG51" t="s">
        <v>6</v>
      </c>
      <c r="AH51" t="s">
        <v>5</v>
      </c>
      <c r="AI51" t="s">
        <v>6</v>
      </c>
      <c r="AJ51" t="s">
        <v>5</v>
      </c>
      <c r="AK51" t="s">
        <v>6</v>
      </c>
    </row>
    <row r="52" spans="1:37" x14ac:dyDescent="0.25">
      <c r="A52" t="s">
        <v>0</v>
      </c>
      <c r="B52">
        <v>7.33</v>
      </c>
      <c r="C52">
        <v>5.23</v>
      </c>
      <c r="D52">
        <v>5.72</v>
      </c>
      <c r="E52">
        <v>4.7</v>
      </c>
      <c r="F52">
        <v>5.27</v>
      </c>
      <c r="G52">
        <v>4.1399999999999997</v>
      </c>
      <c r="H52">
        <v>5.15</v>
      </c>
      <c r="I52">
        <v>14.45</v>
      </c>
      <c r="J52">
        <v>4.82</v>
      </c>
      <c r="K52">
        <v>11.94</v>
      </c>
      <c r="L52">
        <v>0.27</v>
      </c>
      <c r="M52">
        <v>1.67</v>
      </c>
      <c r="N52">
        <v>5.89</v>
      </c>
      <c r="O52">
        <v>3.27</v>
      </c>
      <c r="P52">
        <v>5.7</v>
      </c>
      <c r="Q52">
        <v>2.5299999999999998</v>
      </c>
      <c r="R52">
        <v>2.2799999999999998</v>
      </c>
      <c r="S52">
        <v>3.74</v>
      </c>
      <c r="T52">
        <v>5.04</v>
      </c>
      <c r="U52">
        <v>2.5299999999999998</v>
      </c>
      <c r="X52">
        <v>2.93</v>
      </c>
      <c r="Y52">
        <v>5.38</v>
      </c>
      <c r="Z52">
        <v>1.82</v>
      </c>
      <c r="AA52">
        <v>3.23</v>
      </c>
      <c r="AB52">
        <v>3.68</v>
      </c>
      <c r="AC52">
        <v>5.37</v>
      </c>
      <c r="AD52">
        <v>6.73</v>
      </c>
      <c r="AE52">
        <v>4.42</v>
      </c>
      <c r="AF52">
        <v>1.08</v>
      </c>
      <c r="AG52">
        <v>1.26</v>
      </c>
      <c r="AH52">
        <v>2.52</v>
      </c>
      <c r="AI52">
        <v>1.93</v>
      </c>
      <c r="AJ52">
        <v>2.5299999999999998</v>
      </c>
      <c r="AK52">
        <v>1.46</v>
      </c>
    </row>
    <row r="53" spans="1:37" x14ac:dyDescent="0.25">
      <c r="A53" t="s">
        <v>1</v>
      </c>
      <c r="B53">
        <v>7.06</v>
      </c>
      <c r="C53">
        <v>2.73</v>
      </c>
      <c r="D53">
        <v>4.4800000000000004</v>
      </c>
      <c r="E53">
        <v>1.49</v>
      </c>
      <c r="F53">
        <v>7.84</v>
      </c>
      <c r="G53">
        <v>5.23</v>
      </c>
      <c r="H53">
        <v>5.45</v>
      </c>
      <c r="I53">
        <v>1.81</v>
      </c>
      <c r="J53">
        <v>9.35</v>
      </c>
      <c r="K53">
        <v>3.58</v>
      </c>
      <c r="L53">
        <v>1.68</v>
      </c>
      <c r="M53">
        <v>1.93</v>
      </c>
      <c r="N53">
        <v>9.6199999999999992</v>
      </c>
      <c r="O53">
        <v>2.65</v>
      </c>
      <c r="P53">
        <v>6.95</v>
      </c>
      <c r="Q53">
        <v>3.36</v>
      </c>
      <c r="R53">
        <v>7.16</v>
      </c>
      <c r="S53">
        <v>2.4</v>
      </c>
      <c r="T53">
        <v>2.99</v>
      </c>
      <c r="U53">
        <v>5.04</v>
      </c>
      <c r="X53">
        <v>2.79</v>
      </c>
      <c r="Y53">
        <v>1.54</v>
      </c>
      <c r="Z53">
        <v>2.09</v>
      </c>
      <c r="AA53">
        <v>3.85</v>
      </c>
      <c r="AB53">
        <v>3.8</v>
      </c>
      <c r="AC53">
        <v>4.47</v>
      </c>
      <c r="AD53">
        <v>2.0299999999999998</v>
      </c>
      <c r="AE53">
        <v>2.87</v>
      </c>
      <c r="AF53">
        <v>4.4800000000000004</v>
      </c>
      <c r="AG53">
        <v>1.77</v>
      </c>
      <c r="AH53">
        <v>3.86</v>
      </c>
      <c r="AI53">
        <v>3.23</v>
      </c>
      <c r="AJ53">
        <v>6.91</v>
      </c>
      <c r="AK53">
        <v>6.85</v>
      </c>
    </row>
    <row r="54" spans="1:37" x14ac:dyDescent="0.25">
      <c r="A54" t="s">
        <v>2</v>
      </c>
      <c r="B54">
        <v>2.72</v>
      </c>
      <c r="C54">
        <v>3.67</v>
      </c>
      <c r="D54">
        <v>1.53</v>
      </c>
      <c r="E54">
        <v>7.39</v>
      </c>
      <c r="F54">
        <v>2.57</v>
      </c>
      <c r="G54">
        <v>5.32</v>
      </c>
      <c r="H54">
        <v>9.32</v>
      </c>
      <c r="I54">
        <v>2.56</v>
      </c>
      <c r="J54">
        <v>2.8</v>
      </c>
      <c r="K54">
        <v>6.84</v>
      </c>
      <c r="L54">
        <v>5.63</v>
      </c>
      <c r="M54">
        <v>2.96</v>
      </c>
      <c r="N54">
        <v>3.82</v>
      </c>
      <c r="O54">
        <v>1.61</v>
      </c>
      <c r="P54">
        <v>2.2599999999999998</v>
      </c>
      <c r="Q54">
        <v>5.41</v>
      </c>
      <c r="R54">
        <v>5.74</v>
      </c>
      <c r="S54">
        <v>6.19</v>
      </c>
      <c r="T54">
        <v>11.04</v>
      </c>
      <c r="U54">
        <v>10.37</v>
      </c>
      <c r="X54">
        <v>1.24</v>
      </c>
      <c r="Y54">
        <v>5.79</v>
      </c>
      <c r="Z54">
        <v>7.12</v>
      </c>
      <c r="AA54">
        <v>5.61</v>
      </c>
      <c r="AB54">
        <v>4.08</v>
      </c>
      <c r="AC54">
        <v>5.52</v>
      </c>
      <c r="AD54">
        <v>5.98</v>
      </c>
      <c r="AE54">
        <v>3.62</v>
      </c>
      <c r="AF54">
        <v>4.58</v>
      </c>
      <c r="AG54">
        <v>5.18</v>
      </c>
      <c r="AH54">
        <v>2.5</v>
      </c>
      <c r="AI54">
        <v>6.98</v>
      </c>
      <c r="AJ54">
        <v>4.71</v>
      </c>
      <c r="AK54">
        <v>2.12</v>
      </c>
    </row>
    <row r="55" spans="1:37" x14ac:dyDescent="0.25">
      <c r="A55" t="s">
        <v>3</v>
      </c>
      <c r="B55">
        <v>10.27</v>
      </c>
      <c r="C55">
        <v>9.57</v>
      </c>
      <c r="D55">
        <v>3.22</v>
      </c>
      <c r="E55">
        <v>4.67</v>
      </c>
      <c r="F55">
        <v>5.77</v>
      </c>
      <c r="G55">
        <v>2.88</v>
      </c>
      <c r="H55">
        <v>7.23</v>
      </c>
      <c r="I55">
        <v>12.1</v>
      </c>
      <c r="J55">
        <v>2.13</v>
      </c>
      <c r="K55">
        <v>9.73</v>
      </c>
      <c r="L55">
        <v>2.92</v>
      </c>
      <c r="M55">
        <v>2.82</v>
      </c>
      <c r="N55">
        <v>2.09</v>
      </c>
      <c r="O55">
        <v>1.83</v>
      </c>
      <c r="P55">
        <v>6.13</v>
      </c>
      <c r="Q55">
        <v>7.97</v>
      </c>
      <c r="R55">
        <v>1.23</v>
      </c>
      <c r="S55">
        <v>2.62</v>
      </c>
      <c r="T55">
        <v>11.29</v>
      </c>
      <c r="U55">
        <v>6.43</v>
      </c>
      <c r="X55">
        <v>9.02</v>
      </c>
      <c r="Y55">
        <v>1.39</v>
      </c>
      <c r="Z55">
        <v>3.12</v>
      </c>
      <c r="AA55">
        <v>8.26</v>
      </c>
      <c r="AB55">
        <v>2.2400000000000002</v>
      </c>
      <c r="AC55">
        <v>3.96</v>
      </c>
      <c r="AD55">
        <v>3.29</v>
      </c>
      <c r="AE55">
        <v>7.95</v>
      </c>
      <c r="AF55">
        <v>5.66</v>
      </c>
      <c r="AG55">
        <v>4.68</v>
      </c>
      <c r="AH55">
        <v>7.77</v>
      </c>
      <c r="AI55">
        <v>4.3499999999999996</v>
      </c>
      <c r="AJ55">
        <v>2.2799999999999998</v>
      </c>
      <c r="AK55">
        <v>5.0599999999999996</v>
      </c>
    </row>
    <row r="56" spans="1:37" x14ac:dyDescent="0.25">
      <c r="A56" t="s">
        <v>4</v>
      </c>
      <c r="B56">
        <v>4.8</v>
      </c>
      <c r="C56">
        <v>9.3699999999999992</v>
      </c>
      <c r="D56">
        <v>4.57</v>
      </c>
      <c r="E56">
        <v>5.79</v>
      </c>
      <c r="F56">
        <v>6.84</v>
      </c>
      <c r="G56">
        <v>1.06</v>
      </c>
      <c r="H56">
        <v>9.24</v>
      </c>
      <c r="I56">
        <v>9.51</v>
      </c>
      <c r="J56">
        <v>4.2</v>
      </c>
      <c r="K56">
        <v>2.4</v>
      </c>
      <c r="L56">
        <v>2.4500000000000002</v>
      </c>
      <c r="M56">
        <v>4.9400000000000004</v>
      </c>
      <c r="N56">
        <v>3.45</v>
      </c>
      <c r="O56">
        <v>2.12</v>
      </c>
      <c r="P56">
        <v>5.8</v>
      </c>
      <c r="Q56">
        <v>8.8800000000000008</v>
      </c>
      <c r="R56">
        <v>4</v>
      </c>
      <c r="S56">
        <v>2.0299999999999998</v>
      </c>
      <c r="T56">
        <v>10.48</v>
      </c>
      <c r="U56">
        <v>12.22</v>
      </c>
      <c r="X56">
        <v>1.18</v>
      </c>
      <c r="Y56">
        <v>2.62</v>
      </c>
      <c r="Z56">
        <v>1.34</v>
      </c>
      <c r="AA56">
        <v>4</v>
      </c>
      <c r="AB56">
        <v>6.56</v>
      </c>
      <c r="AC56">
        <v>1.37</v>
      </c>
      <c r="AD56">
        <v>4.09</v>
      </c>
      <c r="AE56">
        <v>7.24</v>
      </c>
      <c r="AF56">
        <v>7.75</v>
      </c>
      <c r="AG56">
        <v>4.42</v>
      </c>
      <c r="AH56">
        <v>4.46</v>
      </c>
      <c r="AI56">
        <v>4.79</v>
      </c>
      <c r="AJ56">
        <v>3.99</v>
      </c>
      <c r="AK56">
        <v>1.79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BA6F-4E01-4D99-AF3B-BB6E53634751}">
  <dimension ref="A1:BN57"/>
  <sheetViews>
    <sheetView tabSelected="1" topLeftCell="AA1" zoomScale="55" zoomScaleNormal="55" workbookViewId="0">
      <selection activeCell="BM12" sqref="BM12"/>
    </sheetView>
  </sheetViews>
  <sheetFormatPr defaultRowHeight="15" x14ac:dyDescent="0.25"/>
  <cols>
    <col min="1" max="1" width="14.5703125" customWidth="1"/>
    <col min="2" max="2" width="9.140625" customWidth="1"/>
    <col min="39" max="39" width="12.85546875" customWidth="1"/>
  </cols>
  <sheetData>
    <row r="1" spans="1:66" x14ac:dyDescent="0.25">
      <c r="AM1" s="3" t="s">
        <v>33</v>
      </c>
      <c r="AN1" s="3" t="s">
        <v>7</v>
      </c>
      <c r="AO1" s="3" t="s">
        <v>8</v>
      </c>
      <c r="AP1" s="3" t="s">
        <v>9</v>
      </c>
      <c r="AQ1" s="3" t="s">
        <v>10</v>
      </c>
      <c r="AR1" s="3" t="s">
        <v>11</v>
      </c>
      <c r="AS1" s="3" t="s">
        <v>12</v>
      </c>
      <c r="AT1" s="3" t="s">
        <v>13</v>
      </c>
      <c r="AU1" s="3" t="s">
        <v>14</v>
      </c>
      <c r="AV1" s="3" t="s">
        <v>15</v>
      </c>
      <c r="AW1" s="3" t="s">
        <v>16</v>
      </c>
      <c r="AX1" s="3" t="s">
        <v>17</v>
      </c>
      <c r="AY1" s="3" t="s">
        <v>18</v>
      </c>
      <c r="AZ1" s="3" t="s">
        <v>19</v>
      </c>
      <c r="BA1" s="3" t="s">
        <v>20</v>
      </c>
      <c r="BB1" s="3" t="s">
        <v>21</v>
      </c>
      <c r="BC1" s="3" t="s">
        <v>22</v>
      </c>
      <c r="BD1" s="3" t="s">
        <v>23</v>
      </c>
      <c r="BE1" s="3" t="s">
        <v>24</v>
      </c>
      <c r="BG1" s="3" t="s">
        <v>41</v>
      </c>
      <c r="BH1" s="3" t="s">
        <v>42</v>
      </c>
      <c r="BK1" s="3" t="s">
        <v>29</v>
      </c>
      <c r="BL1" s="3" t="s">
        <v>30</v>
      </c>
      <c r="BM1" s="3" t="s">
        <v>43</v>
      </c>
      <c r="BN1" s="3" t="s">
        <v>44</v>
      </c>
    </row>
    <row r="2" spans="1:66" x14ac:dyDescent="0.25">
      <c r="A2" s="2">
        <v>45496</v>
      </c>
      <c r="B2" s="4">
        <f>AVERAGE(B5:B9)</f>
        <v>5.7600000000000007</v>
      </c>
      <c r="C2" s="4">
        <f t="shared" ref="C2:AK2" si="0">AVERAGE(C5:C9)</f>
        <v>6.7366666666666672</v>
      </c>
      <c r="D2" s="4">
        <f t="shared" si="0"/>
        <v>6.2033333333333331</v>
      </c>
      <c r="E2" s="4">
        <f t="shared" si="0"/>
        <v>7.06</v>
      </c>
      <c r="F2" s="4">
        <f t="shared" si="0"/>
        <v>6.6733333333333329</v>
      </c>
      <c r="G2" s="4">
        <f t="shared" si="0"/>
        <v>6.9333333333333336</v>
      </c>
      <c r="H2" s="4">
        <f t="shared" si="0"/>
        <v>5.9333333333333336</v>
      </c>
      <c r="I2" s="4">
        <f t="shared" si="0"/>
        <v>6.1099999999999994</v>
      </c>
      <c r="J2" s="4">
        <f t="shared" si="0"/>
        <v>6.88</v>
      </c>
      <c r="K2" s="4">
        <f t="shared" si="0"/>
        <v>6.2033333333333331</v>
      </c>
      <c r="L2" s="4">
        <f t="shared" si="0"/>
        <v>5.9600000000000009</v>
      </c>
      <c r="M2" s="4">
        <f t="shared" si="0"/>
        <v>5.5366666666666662</v>
      </c>
      <c r="N2" s="4">
        <f t="shared" si="0"/>
        <v>6.3</v>
      </c>
      <c r="O2" s="4">
        <f t="shared" si="0"/>
        <v>6.6599999999999993</v>
      </c>
      <c r="P2" s="4">
        <f t="shared" si="0"/>
        <v>6.3866666666666667</v>
      </c>
      <c r="Q2" s="4">
        <f t="shared" si="0"/>
        <v>7.27</v>
      </c>
      <c r="R2" s="4">
        <f t="shared" si="0"/>
        <v>7.1566666666666663</v>
      </c>
      <c r="S2" s="4">
        <f t="shared" si="0"/>
        <v>5.5399999999999991</v>
      </c>
      <c r="T2" s="4">
        <f t="shared" si="0"/>
        <v>5.31</v>
      </c>
      <c r="U2" s="4">
        <f t="shared" si="0"/>
        <v>5.0933333333333337</v>
      </c>
      <c r="V2" s="4">
        <f t="shared" si="0"/>
        <v>5.3633333333333342</v>
      </c>
      <c r="W2" s="4">
        <f t="shared" si="0"/>
        <v>5.1633333333333331</v>
      </c>
      <c r="X2" s="4">
        <f t="shared" si="0"/>
        <v>6.0366666666666662</v>
      </c>
      <c r="Y2" s="4">
        <f t="shared" si="0"/>
        <v>6.16</v>
      </c>
      <c r="Z2" s="4">
        <f t="shared" si="0"/>
        <v>4.6099999999999994</v>
      </c>
      <c r="AA2" s="4">
        <f t="shared" si="0"/>
        <v>5.6099999999999994</v>
      </c>
      <c r="AB2" s="4">
        <f t="shared" si="0"/>
        <v>4.5933333333333328</v>
      </c>
      <c r="AC2" s="4">
        <f t="shared" si="0"/>
        <v>3.6666666666666665</v>
      </c>
      <c r="AD2" s="4">
        <f t="shared" si="0"/>
        <v>4.6633333333333331</v>
      </c>
      <c r="AE2" s="4">
        <f t="shared" si="0"/>
        <v>5.38</v>
      </c>
      <c r="AF2" s="4">
        <f t="shared" si="0"/>
        <v>4.8133333333333335</v>
      </c>
      <c r="AG2" s="4">
        <f t="shared" si="0"/>
        <v>5.25</v>
      </c>
      <c r="AH2" s="4">
        <f t="shared" si="0"/>
        <v>4.3033333333333337</v>
      </c>
      <c r="AI2" s="4">
        <f t="shared" si="0"/>
        <v>5.26</v>
      </c>
      <c r="AJ2" s="4">
        <f t="shared" si="0"/>
        <v>7.4233333333333329</v>
      </c>
      <c r="AK2" s="4">
        <f t="shared" si="0"/>
        <v>4.5866666666666669</v>
      </c>
      <c r="AL2" s="4"/>
      <c r="AM2" t="s">
        <v>34</v>
      </c>
      <c r="AN2">
        <f>B2/C2</f>
        <v>0.85502226620484911</v>
      </c>
      <c r="AO2">
        <f>D2/E2</f>
        <v>0.87865911237016059</v>
      </c>
      <c r="AP2">
        <f>F2/G2</f>
        <v>0.96249999999999991</v>
      </c>
      <c r="AQ2">
        <f>H2/I2</f>
        <v>0.97108565193671592</v>
      </c>
      <c r="AR2">
        <f>J2/K2</f>
        <v>1.109081139172488</v>
      </c>
      <c r="AS2">
        <f>L2/M2</f>
        <v>1.0764599638771826</v>
      </c>
      <c r="AT2">
        <f>O2/P2</f>
        <v>1.0427974947807932</v>
      </c>
      <c r="AU2">
        <f>P2/Q2</f>
        <v>0.87849610270518119</v>
      </c>
      <c r="AV2">
        <f>R2/S2</f>
        <v>1.2918170878459689</v>
      </c>
      <c r="AW2">
        <f>T2/U2</f>
        <v>1.0425392670157068</v>
      </c>
      <c r="AX2">
        <f>V2/W2</f>
        <v>1.0387346675274374</v>
      </c>
      <c r="AY2">
        <f>X2/Y2</f>
        <v>0.97997835497835484</v>
      </c>
      <c r="AZ2">
        <f>Z2/AA2</f>
        <v>0.82174688057041001</v>
      </c>
      <c r="BA2">
        <f>AB2/AC2</f>
        <v>1.2527272727272727</v>
      </c>
      <c r="BB2">
        <f>AD2/AE2</f>
        <v>0.86679058240396523</v>
      </c>
      <c r="BC2">
        <f>AF2/AG2</f>
        <v>0.91682539682539688</v>
      </c>
      <c r="BD2">
        <f>AH2/AI2</f>
        <v>0.81812420785804829</v>
      </c>
      <c r="BE2">
        <f>AJ2/AK2</f>
        <v>1.6184593023255813</v>
      </c>
      <c r="BF2">
        <v>1</v>
      </c>
      <c r="BG2">
        <f>AVERAGE(AN2:BE2)</f>
        <v>1.023435819506973</v>
      </c>
      <c r="BH2">
        <f>STDEV(AN2:BE2)/(COUNT(AN2:BE2)^0.5)</f>
        <v>4.7388830267858756E-2</v>
      </c>
      <c r="BJ2">
        <v>1</v>
      </c>
      <c r="BK2">
        <f>AVERAGE(AN2:AW2)</f>
        <v>1.0108458085909047</v>
      </c>
      <c r="BL2">
        <f>AVERAGE(AX2:BE2)</f>
        <v>1.0391733331520583</v>
      </c>
      <c r="BM2">
        <f>STDEV(AN2:AW2)/(COUNT(AN2:AW2)^0.5)</f>
        <v>4.191453921770625E-2</v>
      </c>
      <c r="BN2">
        <f>STDEV(AX2:BE2)/(COUNT(AX2:BE2)^0.5)</f>
        <v>9.6871008250688312E-2</v>
      </c>
    </row>
    <row r="3" spans="1:66" x14ac:dyDescent="0.25">
      <c r="A3" s="3"/>
      <c r="B3" s="3" t="s">
        <v>7</v>
      </c>
      <c r="C3" s="3" t="s">
        <v>7</v>
      </c>
      <c r="D3" s="3" t="s">
        <v>8</v>
      </c>
      <c r="E3" s="3" t="s">
        <v>8</v>
      </c>
      <c r="F3" s="3" t="s">
        <v>9</v>
      </c>
      <c r="G3" s="3" t="s">
        <v>9</v>
      </c>
      <c r="H3" s="3" t="s">
        <v>10</v>
      </c>
      <c r="I3" s="3" t="s">
        <v>10</v>
      </c>
      <c r="J3" s="3" t="s">
        <v>11</v>
      </c>
      <c r="K3" s="3" t="s">
        <v>11</v>
      </c>
      <c r="L3" s="3" t="s">
        <v>12</v>
      </c>
      <c r="M3" s="3" t="s">
        <v>12</v>
      </c>
      <c r="N3" s="3" t="s">
        <v>13</v>
      </c>
      <c r="O3" s="3" t="s">
        <v>13</v>
      </c>
      <c r="P3" s="3" t="s">
        <v>14</v>
      </c>
      <c r="Q3" s="3" t="s">
        <v>14</v>
      </c>
      <c r="R3" s="3" t="s">
        <v>15</v>
      </c>
      <c r="S3" s="3" t="s">
        <v>15</v>
      </c>
      <c r="T3" s="3" t="s">
        <v>16</v>
      </c>
      <c r="U3" s="3" t="s">
        <v>16</v>
      </c>
      <c r="V3" s="3" t="s">
        <v>17</v>
      </c>
      <c r="W3" s="3" t="s">
        <v>17</v>
      </c>
      <c r="X3" s="3" t="s">
        <v>18</v>
      </c>
      <c r="Y3" s="3" t="s">
        <v>18</v>
      </c>
      <c r="Z3" s="3" t="s">
        <v>19</v>
      </c>
      <c r="AA3" s="3" t="s">
        <v>19</v>
      </c>
      <c r="AB3" s="3" t="s">
        <v>20</v>
      </c>
      <c r="AC3" s="3" t="s">
        <v>20</v>
      </c>
      <c r="AD3" s="3" t="s">
        <v>21</v>
      </c>
      <c r="AE3" s="3" t="s">
        <v>21</v>
      </c>
      <c r="AF3" s="3" t="s">
        <v>22</v>
      </c>
      <c r="AG3" s="3" t="s">
        <v>22</v>
      </c>
      <c r="AH3" s="3" t="s">
        <v>23</v>
      </c>
      <c r="AI3" s="3" t="s">
        <v>23</v>
      </c>
      <c r="AJ3" s="3" t="s">
        <v>24</v>
      </c>
      <c r="AK3" s="3" t="s">
        <v>24</v>
      </c>
      <c r="AL3" s="3"/>
      <c r="BJ3">
        <v>2</v>
      </c>
      <c r="BK3">
        <f>AVERAGE(AN10:AW10)</f>
        <v>0.981429529042952</v>
      </c>
      <c r="BL3">
        <f>AVERAGE(AX10:BE10)</f>
        <v>1.0028635140765136</v>
      </c>
      <c r="BM3">
        <f>STDEV(AN10:AW10)/(COUNT(AN10:AW10)^0.5)</f>
        <v>7.8107779472221459E-2</v>
      </c>
      <c r="BN3">
        <f>STDEV(AX10:BE10)/(COUNT(AX10:BE10)^0.5)</f>
        <v>8.3776042192765229E-2</v>
      </c>
    </row>
    <row r="4" spans="1:66" x14ac:dyDescent="0.25">
      <c r="A4" s="3"/>
      <c r="B4" s="3" t="s">
        <v>5</v>
      </c>
      <c r="C4" s="3" t="s">
        <v>6</v>
      </c>
      <c r="D4" s="3" t="s">
        <v>5</v>
      </c>
      <c r="E4" s="3" t="s">
        <v>6</v>
      </c>
      <c r="F4" s="3" t="s">
        <v>5</v>
      </c>
      <c r="G4" s="3" t="s">
        <v>6</v>
      </c>
      <c r="H4" s="3" t="s">
        <v>5</v>
      </c>
      <c r="I4" s="3" t="s">
        <v>6</v>
      </c>
      <c r="J4" s="3" t="s">
        <v>5</v>
      </c>
      <c r="K4" s="3" t="s">
        <v>6</v>
      </c>
      <c r="L4" s="3" t="s">
        <v>5</v>
      </c>
      <c r="M4" s="3" t="s">
        <v>6</v>
      </c>
      <c r="N4" s="3" t="s">
        <v>5</v>
      </c>
      <c r="O4" s="3" t="s">
        <v>6</v>
      </c>
      <c r="P4" s="3" t="s">
        <v>5</v>
      </c>
      <c r="Q4" s="3" t="s">
        <v>6</v>
      </c>
      <c r="R4" s="3" t="s">
        <v>5</v>
      </c>
      <c r="S4" s="3" t="s">
        <v>6</v>
      </c>
      <c r="T4" s="3" t="s">
        <v>5</v>
      </c>
      <c r="U4" s="3" t="s">
        <v>6</v>
      </c>
      <c r="V4" s="3" t="s">
        <v>5</v>
      </c>
      <c r="W4" s="3" t="s">
        <v>6</v>
      </c>
      <c r="X4" s="3" t="s">
        <v>5</v>
      </c>
      <c r="Y4" s="3" t="s">
        <v>6</v>
      </c>
      <c r="Z4" s="3" t="s">
        <v>5</v>
      </c>
      <c r="AA4" s="3" t="s">
        <v>6</v>
      </c>
      <c r="AB4" s="3" t="s">
        <v>5</v>
      </c>
      <c r="AC4" s="3" t="s">
        <v>6</v>
      </c>
      <c r="AD4" s="3" t="s">
        <v>5</v>
      </c>
      <c r="AE4" s="3" t="s">
        <v>6</v>
      </c>
      <c r="AF4" s="3" t="s">
        <v>5</v>
      </c>
      <c r="AG4" s="3" t="s">
        <v>6</v>
      </c>
      <c r="AH4" s="3" t="s">
        <v>5</v>
      </c>
      <c r="AI4" s="3" t="s">
        <v>6</v>
      </c>
      <c r="AJ4" s="3" t="s">
        <v>5</v>
      </c>
      <c r="AK4" s="3" t="s">
        <v>6</v>
      </c>
      <c r="AL4" s="3"/>
      <c r="BJ4">
        <v>3</v>
      </c>
      <c r="BK4">
        <f>AVERAGE(AN18:AW18)</f>
        <v>0.99444274018250245</v>
      </c>
      <c r="BL4">
        <f>AVERAGE(AX18:BE18)</f>
        <v>0.99886073196780756</v>
      </c>
      <c r="BM4">
        <f>STDEV(AN18:AW18)/(COUNT(AN18:AW18)^0.5)</f>
        <v>9.5812599719637639E-2</v>
      </c>
      <c r="BN4">
        <f>STDEV(AX18:BE18)/(COUNT(AX18:BE18)^0.5)</f>
        <v>9.0894680822754953E-2</v>
      </c>
    </row>
    <row r="5" spans="1:66" x14ac:dyDescent="0.25">
      <c r="A5" t="s">
        <v>0</v>
      </c>
      <c r="D5">
        <v>6.75</v>
      </c>
      <c r="F5">
        <v>6.76</v>
      </c>
      <c r="G5">
        <v>6.5</v>
      </c>
      <c r="I5">
        <v>5.24</v>
      </c>
      <c r="K5">
        <v>6.56</v>
      </c>
      <c r="L5">
        <v>6.82</v>
      </c>
      <c r="M5">
        <v>5.47</v>
      </c>
      <c r="N5">
        <v>7.82</v>
      </c>
      <c r="O5">
        <v>8.09</v>
      </c>
      <c r="P5">
        <v>7.81</v>
      </c>
      <c r="S5">
        <v>4.0199999999999996</v>
      </c>
      <c r="U5">
        <v>4.8600000000000003</v>
      </c>
      <c r="V5">
        <v>4.66</v>
      </c>
      <c r="W5">
        <v>5.49</v>
      </c>
      <c r="Z5">
        <v>4.45</v>
      </c>
      <c r="AH5">
        <v>4.45</v>
      </c>
      <c r="AI5">
        <v>3.91</v>
      </c>
      <c r="AJ5">
        <v>7.78</v>
      </c>
      <c r="BJ5">
        <v>4</v>
      </c>
      <c r="BK5">
        <f>AVERAGE(AN26:AW26)</f>
        <v>1.0468085330165322</v>
      </c>
      <c r="BL5">
        <f>AVERAGE(AX26:BE26)</f>
        <v>1.0873101171474617</v>
      </c>
      <c r="BM5">
        <f>STDEV(AN26:AW26)/(COUNT(AN26:AW26)^0.5)</f>
        <v>8.2611550617934848E-2</v>
      </c>
      <c r="BN5">
        <f>STDEV(AX26:BE26)/(COUNT(AX26:BE26)^0.5)</f>
        <v>6.7109826740565481E-2</v>
      </c>
    </row>
    <row r="6" spans="1:66" x14ac:dyDescent="0.25">
      <c r="A6" t="s">
        <v>1</v>
      </c>
      <c r="B6">
        <v>6.12</v>
      </c>
      <c r="C6">
        <v>6.2</v>
      </c>
      <c r="E6">
        <v>6.79</v>
      </c>
      <c r="F6">
        <v>7.45</v>
      </c>
      <c r="G6">
        <v>7.84</v>
      </c>
      <c r="H6">
        <v>5</v>
      </c>
      <c r="J6">
        <v>6.93</v>
      </c>
      <c r="L6">
        <v>5.41</v>
      </c>
      <c r="N6">
        <v>5.51</v>
      </c>
      <c r="O6">
        <v>6.72</v>
      </c>
      <c r="P6">
        <v>5.42</v>
      </c>
      <c r="S6">
        <v>7.38</v>
      </c>
      <c r="X6">
        <v>5</v>
      </c>
      <c r="AD6">
        <v>4.49</v>
      </c>
      <c r="AF6">
        <v>5.82</v>
      </c>
      <c r="AH6">
        <v>3.85</v>
      </c>
      <c r="AJ6">
        <v>7.49</v>
      </c>
      <c r="AK6">
        <v>3.97</v>
      </c>
      <c r="BJ6">
        <v>5</v>
      </c>
      <c r="BK6">
        <f>AVERAGE(AN34:AW34)</f>
        <v>1.0884744386259022</v>
      </c>
      <c r="BL6">
        <f>AVERAGE(AX34:BE34)</f>
        <v>1.11291894099116</v>
      </c>
      <c r="BM6">
        <f>STDEV(AN34:AW34)/(COUNT(AN34:AW34)^0.5)</f>
        <v>0.11947015570242842</v>
      </c>
      <c r="BN6">
        <f>STDEV(AX34:BE34)/(COUNT(AX34:BE34)^0.5)</f>
        <v>0.15734348771315476</v>
      </c>
    </row>
    <row r="7" spans="1:66" x14ac:dyDescent="0.25">
      <c r="A7" t="s">
        <v>2</v>
      </c>
      <c r="C7">
        <v>8.69</v>
      </c>
      <c r="D7">
        <v>6.44</v>
      </c>
      <c r="E7">
        <v>7.25</v>
      </c>
      <c r="F7">
        <v>5.81</v>
      </c>
      <c r="G7">
        <v>6.46</v>
      </c>
      <c r="I7">
        <v>7.08</v>
      </c>
      <c r="J7">
        <v>7.73</v>
      </c>
      <c r="K7">
        <v>5.27</v>
      </c>
      <c r="L7">
        <v>5.65</v>
      </c>
      <c r="M7">
        <v>5.99</v>
      </c>
      <c r="Q7">
        <v>7.1</v>
      </c>
      <c r="R7">
        <v>6.06</v>
      </c>
      <c r="S7">
        <v>5.22</v>
      </c>
      <c r="T7">
        <v>5.95</v>
      </c>
      <c r="U7">
        <v>5.64</v>
      </c>
      <c r="V7">
        <v>6.78</v>
      </c>
      <c r="X7">
        <v>5.51</v>
      </c>
      <c r="Y7">
        <v>5.7</v>
      </c>
      <c r="Z7">
        <v>4.18</v>
      </c>
      <c r="AA7">
        <v>5.12</v>
      </c>
      <c r="AB7">
        <v>4.46</v>
      </c>
      <c r="AC7">
        <v>3.24</v>
      </c>
      <c r="AD7">
        <v>3.33</v>
      </c>
      <c r="AE7">
        <v>4.67</v>
      </c>
      <c r="AF7">
        <v>3.52</v>
      </c>
      <c r="AG7">
        <v>6.14</v>
      </c>
      <c r="AH7">
        <v>4.6100000000000003</v>
      </c>
      <c r="AI7">
        <v>5.47</v>
      </c>
      <c r="AJ7">
        <v>7</v>
      </c>
      <c r="AK7">
        <v>4.51</v>
      </c>
      <c r="BJ7">
        <v>6</v>
      </c>
      <c r="BK7">
        <f>AVERAGE(AN42:AW42)</f>
        <v>0.96710924267912135</v>
      </c>
      <c r="BL7">
        <f>AVERAGE(AX42:BE42)</f>
        <v>1.1974559793431738</v>
      </c>
      <c r="BM7">
        <f>STDEV(AN42:AW42)/(COUNT(AN42:AW42)^0.5)</f>
        <v>8.1777271926705766E-2</v>
      </c>
      <c r="BN7">
        <f>STDEV(AX42:BE42)/(COUNT(AX42:BE42)^0.5)</f>
        <v>0.14257403429370974</v>
      </c>
    </row>
    <row r="8" spans="1:66" x14ac:dyDescent="0.25">
      <c r="A8" t="s">
        <v>3</v>
      </c>
      <c r="B8">
        <v>4.5599999999999996</v>
      </c>
      <c r="C8">
        <v>5.32</v>
      </c>
      <c r="E8">
        <v>7.14</v>
      </c>
      <c r="H8">
        <v>6.46</v>
      </c>
      <c r="I8">
        <v>6.01</v>
      </c>
      <c r="J8">
        <v>5.98</v>
      </c>
      <c r="K8">
        <v>6.78</v>
      </c>
      <c r="M8">
        <v>5.15</v>
      </c>
      <c r="N8">
        <v>5.57</v>
      </c>
      <c r="O8">
        <v>5.17</v>
      </c>
      <c r="P8">
        <v>5.93</v>
      </c>
      <c r="Q8">
        <v>8.84</v>
      </c>
      <c r="R8">
        <v>8.75</v>
      </c>
      <c r="T8">
        <v>5.0599999999999996</v>
      </c>
      <c r="U8">
        <v>4.78</v>
      </c>
      <c r="V8">
        <v>4.6500000000000004</v>
      </c>
      <c r="W8">
        <v>6.22</v>
      </c>
      <c r="Y8">
        <v>5.51</v>
      </c>
      <c r="AA8">
        <v>5.99</v>
      </c>
      <c r="AB8">
        <v>4.58</v>
      </c>
      <c r="AC8">
        <v>4.4400000000000004</v>
      </c>
      <c r="AD8">
        <v>6.17</v>
      </c>
      <c r="AE8">
        <v>5.98</v>
      </c>
      <c r="AF8">
        <v>5.0999999999999996</v>
      </c>
      <c r="AG8">
        <v>5.99</v>
      </c>
      <c r="AK8">
        <v>5.28</v>
      </c>
      <c r="BJ8">
        <v>7</v>
      </c>
      <c r="BK8">
        <f>AVERAGE(AN50:AW50)</f>
        <v>0.9746322316670053</v>
      </c>
      <c r="BL8">
        <f>AVERAGE(AX50:BE50)</f>
        <v>0.95274396807333039</v>
      </c>
      <c r="BM8">
        <f>STDEV(AN50:AW50)/(COUNT(AN50:AW50)^0.5)</f>
        <v>0.10590366939344541</v>
      </c>
      <c r="BN8">
        <f>STDEV(AX50:BE50)/(COUNT(AX50:BE50)^0.5)</f>
        <v>9.3707437950719508E-2</v>
      </c>
    </row>
    <row r="9" spans="1:66" x14ac:dyDescent="0.25">
      <c r="A9" t="s">
        <v>4</v>
      </c>
      <c r="B9">
        <v>6.6</v>
      </c>
      <c r="D9">
        <v>5.42</v>
      </c>
      <c r="H9">
        <v>6.34</v>
      </c>
      <c r="Q9">
        <v>5.87</v>
      </c>
      <c r="R9">
        <v>6.66</v>
      </c>
      <c r="T9">
        <v>4.92</v>
      </c>
      <c r="W9">
        <v>3.78</v>
      </c>
      <c r="X9">
        <v>7.6</v>
      </c>
      <c r="Y9">
        <v>7.27</v>
      </c>
      <c r="Z9">
        <v>5.2</v>
      </c>
      <c r="AA9">
        <v>5.72</v>
      </c>
      <c r="AB9">
        <v>4.74</v>
      </c>
      <c r="AC9">
        <v>3.32</v>
      </c>
      <c r="AE9">
        <v>5.49</v>
      </c>
      <c r="AG9">
        <v>3.62</v>
      </c>
      <c r="AI9">
        <v>6.4</v>
      </c>
    </row>
    <row r="10" spans="1:66" x14ac:dyDescent="0.25">
      <c r="A10" s="1">
        <v>45501</v>
      </c>
      <c r="B10" s="4">
        <f>AVERAGE(B13:B17)</f>
        <v>4.4733333333333336</v>
      </c>
      <c r="C10" s="4">
        <f t="shared" ref="C10:AK10" si="1">AVERAGE(C13:C17)</f>
        <v>6.586666666666666</v>
      </c>
      <c r="D10" s="4">
        <f t="shared" si="1"/>
        <v>6.2233333333333327</v>
      </c>
      <c r="E10" s="4">
        <f t="shared" si="1"/>
        <v>8.0733333333333324</v>
      </c>
      <c r="F10" s="4">
        <f>AVERAGE(F13:F17)</f>
        <v>5.2166666666666677</v>
      </c>
      <c r="G10" s="4">
        <f t="shared" si="1"/>
        <v>5.9666666666666659</v>
      </c>
      <c r="H10" s="4">
        <f t="shared" si="1"/>
        <v>5.1833333333333327</v>
      </c>
      <c r="I10" s="4">
        <f t="shared" si="1"/>
        <v>5.336666666666666</v>
      </c>
      <c r="J10" s="4">
        <f t="shared" si="1"/>
        <v>7.06</v>
      </c>
      <c r="K10" s="4">
        <f t="shared" si="1"/>
        <v>6.1066666666666665</v>
      </c>
      <c r="L10" s="4">
        <f t="shared" si="1"/>
        <v>2.7866666666666666</v>
      </c>
      <c r="M10" s="4">
        <f t="shared" si="1"/>
        <v>4.1833333333333336</v>
      </c>
      <c r="N10" s="4">
        <f t="shared" si="1"/>
        <v>4.66</v>
      </c>
      <c r="O10" s="4">
        <f t="shared" si="1"/>
        <v>6.28</v>
      </c>
      <c r="P10" s="4">
        <f t="shared" si="1"/>
        <v>5.3566666666666665</v>
      </c>
      <c r="Q10" s="4">
        <f t="shared" si="1"/>
        <v>5.1133333333333333</v>
      </c>
      <c r="R10" s="4">
        <f t="shared" si="1"/>
        <v>6.4833333333333334</v>
      </c>
      <c r="S10" s="4">
        <f t="shared" si="1"/>
        <v>6.3833333333333329</v>
      </c>
      <c r="T10" s="4">
        <f t="shared" si="1"/>
        <v>7.0900000000000007</v>
      </c>
      <c r="U10" s="4">
        <f t="shared" si="1"/>
        <v>4.8533333333333326</v>
      </c>
      <c r="V10" s="4">
        <f t="shared" si="1"/>
        <v>6.2933333333333339</v>
      </c>
      <c r="W10" s="4">
        <f t="shared" si="1"/>
        <v>2.8133333333333339</v>
      </c>
      <c r="X10" s="4">
        <f t="shared" si="1"/>
        <v>4.2766666666666664</v>
      </c>
      <c r="Y10" s="4">
        <f t="shared" si="1"/>
        <v>4.78</v>
      </c>
      <c r="Z10" s="4">
        <f t="shared" si="1"/>
        <v>4.830000000000001</v>
      </c>
      <c r="AA10" s="4">
        <f t="shared" si="1"/>
        <v>5.2466666666666661</v>
      </c>
      <c r="AB10" s="4">
        <f t="shared" si="1"/>
        <v>5.8900000000000006</v>
      </c>
      <c r="AC10" s="4">
        <f t="shared" si="1"/>
        <v>4.6466666666666674</v>
      </c>
      <c r="AD10" s="4">
        <f t="shared" si="1"/>
        <v>5.25</v>
      </c>
      <c r="AE10" s="4">
        <f t="shared" si="1"/>
        <v>5.5366666666666662</v>
      </c>
      <c r="AF10" s="4">
        <f t="shared" si="1"/>
        <v>6.5333333333333341</v>
      </c>
      <c r="AG10" s="4">
        <f t="shared" si="1"/>
        <v>4.793333333333333</v>
      </c>
      <c r="AH10" s="4">
        <f t="shared" si="1"/>
        <v>3.0033333333333339</v>
      </c>
      <c r="AI10" s="4">
        <f t="shared" si="1"/>
        <v>3.82</v>
      </c>
      <c r="AJ10" s="4">
        <f t="shared" si="1"/>
        <v>5.2399999999999993</v>
      </c>
      <c r="AK10" s="4">
        <f t="shared" si="1"/>
        <v>6.2400000000000011</v>
      </c>
      <c r="AM10" t="s">
        <v>35</v>
      </c>
      <c r="AN10">
        <f>B10/C10</f>
        <v>0.67914979757085037</v>
      </c>
      <c r="AO10">
        <f>D10/E10</f>
        <v>0.77085053674649051</v>
      </c>
      <c r="AP10">
        <f>F10/G10</f>
        <v>0.87430167597765396</v>
      </c>
      <c r="AQ10">
        <f>H10/I10</f>
        <v>0.97126795752654593</v>
      </c>
      <c r="AR10">
        <f>J10/K10</f>
        <v>1.1561135371179039</v>
      </c>
      <c r="AS10">
        <f>L10/M10</f>
        <v>0.66613545816733066</v>
      </c>
      <c r="AT10">
        <f>O10/P10</f>
        <v>1.1723708774113255</v>
      </c>
      <c r="AU10">
        <f>P10/Q10</f>
        <v>1.0475880052151239</v>
      </c>
      <c r="AV10">
        <f>R10/S10</f>
        <v>1.0156657963446476</v>
      </c>
      <c r="AW10">
        <f>T10/U10</f>
        <v>1.4608516483516487</v>
      </c>
      <c r="AY10">
        <f>X10/Y10</f>
        <v>0.89470013947001381</v>
      </c>
      <c r="AZ10">
        <f>Z10/AA10</f>
        <v>0.9205844980940282</v>
      </c>
      <c r="BA10">
        <f>AB10/AC10</f>
        <v>1.2675753228120517</v>
      </c>
      <c r="BB10">
        <f>AD10/AE10</f>
        <v>0.94822396146899468</v>
      </c>
      <c r="BC10">
        <f>AF10/AG10</f>
        <v>1.3630041724617528</v>
      </c>
      <c r="BD10">
        <f>AH10/AI10</f>
        <v>0.78621291448516595</v>
      </c>
      <c r="BE10">
        <f>AJ10/AK10</f>
        <v>0.83974358974358954</v>
      </c>
      <c r="BF10">
        <v>2</v>
      </c>
      <c r="BG10">
        <f>AVERAGE(AN10:BE10)</f>
        <v>0.99025528758618342</v>
      </c>
      <c r="BH10">
        <f>STDEV(AN10:BE10)/(COUNT(AN10:BE10)^0.5)</f>
        <v>5.5761435168007419E-2</v>
      </c>
    </row>
    <row r="11" spans="1:66" x14ac:dyDescent="0.25">
      <c r="B11" t="s">
        <v>7</v>
      </c>
      <c r="C11" t="s">
        <v>7</v>
      </c>
      <c r="D11" t="s">
        <v>8</v>
      </c>
      <c r="E11" t="s">
        <v>8</v>
      </c>
      <c r="F11" t="s">
        <v>9</v>
      </c>
      <c r="G11" t="s">
        <v>9</v>
      </c>
      <c r="H11" t="s">
        <v>10</v>
      </c>
      <c r="I11" t="s">
        <v>10</v>
      </c>
      <c r="J11" t="s">
        <v>11</v>
      </c>
      <c r="K11" t="s">
        <v>11</v>
      </c>
      <c r="L11" t="s">
        <v>12</v>
      </c>
      <c r="M11" t="s">
        <v>12</v>
      </c>
      <c r="N11" t="s">
        <v>13</v>
      </c>
      <c r="O11" t="s">
        <v>13</v>
      </c>
      <c r="P11" t="s">
        <v>14</v>
      </c>
      <c r="Q11" t="s">
        <v>14</v>
      </c>
      <c r="R11" t="s">
        <v>15</v>
      </c>
      <c r="S11" t="s">
        <v>15</v>
      </c>
      <c r="T11" t="s">
        <v>16</v>
      </c>
      <c r="U11" t="s">
        <v>16</v>
      </c>
      <c r="V11" t="s">
        <v>17</v>
      </c>
      <c r="W11" t="s">
        <v>17</v>
      </c>
      <c r="X11" t="s">
        <v>18</v>
      </c>
      <c r="Y11" t="s">
        <v>18</v>
      </c>
      <c r="Z11" t="s">
        <v>19</v>
      </c>
      <c r="AA11" t="s">
        <v>19</v>
      </c>
      <c r="AB11" t="s">
        <v>20</v>
      </c>
      <c r="AC11" t="s">
        <v>20</v>
      </c>
      <c r="AD11" t="s">
        <v>21</v>
      </c>
      <c r="AE11" t="s">
        <v>21</v>
      </c>
      <c r="AF11" t="s">
        <v>22</v>
      </c>
      <c r="AG11" t="s">
        <v>22</v>
      </c>
      <c r="AH11" t="s">
        <v>23</v>
      </c>
      <c r="AI11" t="s">
        <v>23</v>
      </c>
      <c r="AJ11" t="s">
        <v>24</v>
      </c>
      <c r="AK11" t="s">
        <v>24</v>
      </c>
    </row>
    <row r="12" spans="1:66" x14ac:dyDescent="0.25">
      <c r="B12" t="s">
        <v>5</v>
      </c>
      <c r="C12" t="s">
        <v>6</v>
      </c>
      <c r="D12" t="s">
        <v>5</v>
      </c>
      <c r="E12" t="s">
        <v>6</v>
      </c>
      <c r="F12" t="s">
        <v>5</v>
      </c>
      <c r="G12" t="s">
        <v>6</v>
      </c>
      <c r="H12" t="s">
        <v>5</v>
      </c>
      <c r="I12" t="s">
        <v>6</v>
      </c>
      <c r="J12" t="s">
        <v>5</v>
      </c>
      <c r="K12" t="s">
        <v>6</v>
      </c>
      <c r="L12" t="s">
        <v>5</v>
      </c>
      <c r="M12" t="s">
        <v>6</v>
      </c>
      <c r="N12" t="s">
        <v>5</v>
      </c>
      <c r="O12" t="s">
        <v>6</v>
      </c>
      <c r="P12" t="s">
        <v>5</v>
      </c>
      <c r="Q12" t="s">
        <v>6</v>
      </c>
      <c r="R12" t="s">
        <v>5</v>
      </c>
      <c r="S12" t="s">
        <v>6</v>
      </c>
      <c r="T12" t="s">
        <v>5</v>
      </c>
      <c r="U12" t="s">
        <v>6</v>
      </c>
      <c r="V12" t="s">
        <v>5</v>
      </c>
      <c r="W12" t="s">
        <v>6</v>
      </c>
      <c r="X12" t="s">
        <v>5</v>
      </c>
      <c r="Y12" t="s">
        <v>6</v>
      </c>
      <c r="Z12" t="s">
        <v>5</v>
      </c>
      <c r="AA12" t="s">
        <v>6</v>
      </c>
      <c r="AB12" t="s">
        <v>5</v>
      </c>
      <c r="AC12" t="s">
        <v>6</v>
      </c>
      <c r="AD12" t="s">
        <v>5</v>
      </c>
      <c r="AE12" t="s">
        <v>6</v>
      </c>
      <c r="AF12" t="s">
        <v>5</v>
      </c>
      <c r="AG12" t="s">
        <v>6</v>
      </c>
      <c r="AH12" t="s">
        <v>5</v>
      </c>
      <c r="AI12" t="s">
        <v>6</v>
      </c>
      <c r="AJ12" t="s">
        <v>5</v>
      </c>
      <c r="AK12" t="s">
        <v>6</v>
      </c>
    </row>
    <row r="13" spans="1:66" x14ac:dyDescent="0.25">
      <c r="A13" t="s">
        <v>0</v>
      </c>
      <c r="D13">
        <v>6.62</v>
      </c>
      <c r="E13">
        <v>8.8800000000000008</v>
      </c>
      <c r="G13">
        <v>8.7799999999999994</v>
      </c>
      <c r="I13">
        <v>4.9400000000000004</v>
      </c>
      <c r="K13">
        <v>7.84</v>
      </c>
      <c r="L13">
        <v>3.3</v>
      </c>
      <c r="N13">
        <v>5.23</v>
      </c>
      <c r="O13">
        <v>6.67</v>
      </c>
      <c r="Q13">
        <v>5.93</v>
      </c>
      <c r="R13">
        <v>5.26</v>
      </c>
      <c r="T13">
        <v>7.98</v>
      </c>
      <c r="W13">
        <v>3.02</v>
      </c>
      <c r="Z13">
        <v>5.79</v>
      </c>
      <c r="AD13">
        <v>6.25</v>
      </c>
      <c r="AG13">
        <v>4.24</v>
      </c>
      <c r="AK13">
        <v>6.73</v>
      </c>
    </row>
    <row r="14" spans="1:66" x14ac:dyDescent="0.25">
      <c r="A14" t="s">
        <v>1</v>
      </c>
      <c r="B14">
        <v>3.98</v>
      </c>
      <c r="C14">
        <v>6.9</v>
      </c>
      <c r="D14">
        <v>6.1</v>
      </c>
      <c r="F14">
        <v>3.91</v>
      </c>
      <c r="H14">
        <v>5.89</v>
      </c>
      <c r="I14">
        <v>5.31</v>
      </c>
      <c r="J14">
        <v>5.13</v>
      </c>
      <c r="L14">
        <v>3.41</v>
      </c>
      <c r="M14">
        <v>5.25</v>
      </c>
      <c r="N14">
        <v>3.58</v>
      </c>
      <c r="P14">
        <v>4.8</v>
      </c>
      <c r="Q14">
        <v>4.78</v>
      </c>
      <c r="T14">
        <v>6.71</v>
      </c>
      <c r="U14">
        <v>3.6</v>
      </c>
      <c r="V14">
        <v>10.09</v>
      </c>
      <c r="X14">
        <v>3.23</v>
      </c>
      <c r="Z14">
        <v>4.1500000000000004</v>
      </c>
      <c r="AB14">
        <v>5.87</v>
      </c>
      <c r="AC14">
        <v>5.91</v>
      </c>
      <c r="AE14">
        <v>6.18</v>
      </c>
      <c r="AF14">
        <v>6.94</v>
      </c>
      <c r="AH14">
        <v>2.91</v>
      </c>
      <c r="AI14">
        <v>2.83</v>
      </c>
      <c r="AJ14">
        <v>5.32</v>
      </c>
      <c r="AK14">
        <v>7.03</v>
      </c>
    </row>
    <row r="15" spans="1:66" x14ac:dyDescent="0.25">
      <c r="A15" t="s">
        <v>2</v>
      </c>
      <c r="E15">
        <v>5.57</v>
      </c>
      <c r="F15">
        <v>5.78</v>
      </c>
      <c r="H15">
        <v>5.89</v>
      </c>
      <c r="K15">
        <v>4.67</v>
      </c>
      <c r="N15">
        <v>5.17</v>
      </c>
      <c r="P15">
        <v>5.58</v>
      </c>
      <c r="R15">
        <v>7.53</v>
      </c>
      <c r="S15">
        <v>6.24</v>
      </c>
      <c r="X15">
        <v>5.12</v>
      </c>
      <c r="Y15">
        <v>4.8099999999999996</v>
      </c>
      <c r="AA15">
        <v>6.27</v>
      </c>
      <c r="AB15">
        <v>4.38</v>
      </c>
      <c r="AC15">
        <v>4.9800000000000004</v>
      </c>
      <c r="AD15">
        <v>4.95</v>
      </c>
      <c r="AE15">
        <v>6.35</v>
      </c>
      <c r="AF15">
        <v>6.64</v>
      </c>
      <c r="AI15">
        <v>3.86</v>
      </c>
      <c r="AJ15">
        <v>4.8499999999999996</v>
      </c>
    </row>
    <row r="16" spans="1:66" x14ac:dyDescent="0.25">
      <c r="A16" t="s">
        <v>3</v>
      </c>
      <c r="B16">
        <v>5.94</v>
      </c>
      <c r="C16">
        <v>6.46</v>
      </c>
      <c r="D16">
        <v>5.95</v>
      </c>
      <c r="G16">
        <v>3.77</v>
      </c>
      <c r="H16">
        <v>3.77</v>
      </c>
      <c r="J16">
        <v>7.77</v>
      </c>
      <c r="M16">
        <v>4.5999999999999996</v>
      </c>
      <c r="O16">
        <v>5.03</v>
      </c>
      <c r="R16">
        <v>6.66</v>
      </c>
      <c r="S16">
        <v>6</v>
      </c>
      <c r="T16">
        <v>6.58</v>
      </c>
      <c r="U16">
        <v>5.32</v>
      </c>
      <c r="V16">
        <v>3.31</v>
      </c>
      <c r="W16">
        <v>3.21</v>
      </c>
      <c r="X16">
        <v>4.4800000000000004</v>
      </c>
      <c r="Y16">
        <v>4.4800000000000004</v>
      </c>
      <c r="Z16">
        <v>4.55</v>
      </c>
      <c r="AA16">
        <v>5.31</v>
      </c>
      <c r="AF16">
        <v>6.02</v>
      </c>
      <c r="AG16">
        <v>5.25</v>
      </c>
      <c r="AH16">
        <v>2.64</v>
      </c>
      <c r="AI16">
        <v>4.7699999999999996</v>
      </c>
      <c r="AJ16">
        <v>5.55</v>
      </c>
      <c r="AK16">
        <v>4.96</v>
      </c>
    </row>
    <row r="17" spans="1:60" x14ac:dyDescent="0.25">
      <c r="A17" t="s">
        <v>4</v>
      </c>
      <c r="B17">
        <v>3.5</v>
      </c>
      <c r="C17">
        <v>6.4</v>
      </c>
      <c r="E17">
        <v>9.77</v>
      </c>
      <c r="F17">
        <v>5.96</v>
      </c>
      <c r="G17">
        <v>5.35</v>
      </c>
      <c r="I17">
        <v>5.76</v>
      </c>
      <c r="J17">
        <v>8.2799999999999994</v>
      </c>
      <c r="K17">
        <v>5.81</v>
      </c>
      <c r="L17">
        <v>1.65</v>
      </c>
      <c r="M17">
        <v>2.7</v>
      </c>
      <c r="O17">
        <v>7.14</v>
      </c>
      <c r="P17">
        <v>5.69</v>
      </c>
      <c r="Q17">
        <v>4.63</v>
      </c>
      <c r="S17">
        <v>6.91</v>
      </c>
      <c r="U17">
        <v>5.64</v>
      </c>
      <c r="V17">
        <v>5.48</v>
      </c>
      <c r="W17">
        <v>2.21</v>
      </c>
      <c r="Y17">
        <v>5.05</v>
      </c>
      <c r="AA17">
        <v>4.16</v>
      </c>
      <c r="AB17">
        <v>7.42</v>
      </c>
      <c r="AC17">
        <v>3.05</v>
      </c>
      <c r="AD17">
        <v>4.55</v>
      </c>
      <c r="AE17">
        <v>4.08</v>
      </c>
      <c r="AG17">
        <v>4.8899999999999997</v>
      </c>
      <c r="AH17">
        <v>3.46</v>
      </c>
    </row>
    <row r="18" spans="1:60" x14ac:dyDescent="0.25">
      <c r="A18" s="1">
        <v>45512</v>
      </c>
      <c r="B18" s="4">
        <f>AVERAGE(B21:B25)</f>
        <v>4.8833333333333329</v>
      </c>
      <c r="C18" s="4">
        <f t="shared" ref="C18:AK18" si="2">AVERAGE(C21:C25)</f>
        <v>4.9400000000000004</v>
      </c>
      <c r="D18" s="4">
        <f t="shared" si="2"/>
        <v>3.35</v>
      </c>
      <c r="E18" s="4">
        <f t="shared" si="2"/>
        <v>4.623333333333334</v>
      </c>
      <c r="F18" s="4">
        <f>AVERAGE(F21:F25)</f>
        <v>5.1566666666666663</v>
      </c>
      <c r="G18" s="4">
        <f t="shared" si="2"/>
        <v>3.3233333333333328</v>
      </c>
      <c r="H18" s="4">
        <f t="shared" si="2"/>
        <v>4.1499999999999995</v>
      </c>
      <c r="I18" s="4">
        <f t="shared" si="2"/>
        <v>3.39</v>
      </c>
      <c r="J18" s="4">
        <f t="shared" si="2"/>
        <v>5.2733333333333334</v>
      </c>
      <c r="K18" s="4">
        <f t="shared" si="2"/>
        <v>4.6066666666666665</v>
      </c>
      <c r="L18" s="4">
        <f t="shared" si="2"/>
        <v>1.986666666666667</v>
      </c>
      <c r="M18" s="4">
        <f t="shared" si="2"/>
        <v>3.0500000000000003</v>
      </c>
      <c r="N18" s="4">
        <f t="shared" si="2"/>
        <v>2.4266666666666663</v>
      </c>
      <c r="O18" s="4">
        <f t="shared" si="2"/>
        <v>2.6533333333333333</v>
      </c>
      <c r="P18" s="4">
        <f t="shared" si="2"/>
        <v>4.84</v>
      </c>
      <c r="Q18" s="4">
        <f t="shared" si="2"/>
        <v>4.9366666666666665</v>
      </c>
      <c r="R18" s="4">
        <f t="shared" si="2"/>
        <v>5.9933333333333332</v>
      </c>
      <c r="S18" s="4">
        <f t="shared" si="2"/>
        <v>4.9633333333333338</v>
      </c>
      <c r="T18" s="4">
        <f t="shared" si="2"/>
        <v>5.9733333333333327</v>
      </c>
      <c r="U18" s="4">
        <f t="shared" si="2"/>
        <v>6.47</v>
      </c>
      <c r="V18" s="4"/>
      <c r="W18" s="4"/>
      <c r="X18" s="4">
        <f t="shared" si="2"/>
        <v>3</v>
      </c>
      <c r="Y18" s="4">
        <f t="shared" si="2"/>
        <v>2.2800000000000002</v>
      </c>
      <c r="Z18" s="4">
        <f t="shared" si="2"/>
        <v>4.333333333333333</v>
      </c>
      <c r="AA18" s="4">
        <f t="shared" si="2"/>
        <v>4.2299999999999995</v>
      </c>
      <c r="AB18" s="4">
        <f t="shared" si="2"/>
        <v>5.253333333333333</v>
      </c>
      <c r="AC18" s="4">
        <f t="shared" si="2"/>
        <v>4.7533333333333339</v>
      </c>
      <c r="AD18" s="4">
        <f t="shared" si="2"/>
        <v>6.580000000000001</v>
      </c>
      <c r="AE18" s="4">
        <f t="shared" si="2"/>
        <v>5.23</v>
      </c>
      <c r="AF18" s="4">
        <f t="shared" si="2"/>
        <v>2.9433333333333334</v>
      </c>
      <c r="AG18" s="4">
        <f t="shared" si="2"/>
        <v>3.7966666666666669</v>
      </c>
      <c r="AH18" s="4">
        <f t="shared" si="2"/>
        <v>2.5033333333333334</v>
      </c>
      <c r="AI18" s="4">
        <f t="shared" si="2"/>
        <v>3.3200000000000003</v>
      </c>
      <c r="AJ18" s="4">
        <f t="shared" si="2"/>
        <v>1.8499999999999999</v>
      </c>
      <c r="AK18" s="4">
        <f t="shared" si="2"/>
        <v>2.4366666666666665</v>
      </c>
      <c r="AM18" s="5" t="s">
        <v>36</v>
      </c>
      <c r="AN18">
        <f>B18/C18</f>
        <v>0.98852901484480415</v>
      </c>
      <c r="AO18">
        <f>D18/E18</f>
        <v>0.72458543619322269</v>
      </c>
      <c r="AP18">
        <f>F18/G18</f>
        <v>1.5516549648946842</v>
      </c>
      <c r="AQ18">
        <f>H18/I18</f>
        <v>1.2241887905604718</v>
      </c>
      <c r="AR18">
        <f>J18/K18</f>
        <v>1.1447178002894356</v>
      </c>
      <c r="AS18">
        <f>L18/M18</f>
        <v>0.65136612021857931</v>
      </c>
      <c r="AT18">
        <f>O18/P18</f>
        <v>0.54820936639118456</v>
      </c>
      <c r="AU18">
        <f>P18/Q18</f>
        <v>0.98041863605671842</v>
      </c>
      <c r="AV18">
        <f>R18/S18</f>
        <v>1.2075218267293484</v>
      </c>
      <c r="AW18">
        <f>T18/U18</f>
        <v>0.92323544564657389</v>
      </c>
      <c r="AY18">
        <f>X18/Y18</f>
        <v>1.3157894736842104</v>
      </c>
      <c r="AZ18">
        <f>Z18/AA18</f>
        <v>1.0244286840031522</v>
      </c>
      <c r="BA18">
        <f>AB18/AC18</f>
        <v>1.1051893408134641</v>
      </c>
      <c r="BB18">
        <f>AD18/AE18</f>
        <v>1.2581261950286808</v>
      </c>
      <c r="BC18">
        <f>AF18/AG18</f>
        <v>0.77524143985952587</v>
      </c>
      <c r="BD18">
        <f>AH18/AI18</f>
        <v>0.75401606425702805</v>
      </c>
      <c r="BE18">
        <f>AJ18/AK18</f>
        <v>0.75923392612859097</v>
      </c>
      <c r="BF18">
        <v>3</v>
      </c>
      <c r="BG18">
        <f>AVERAGE(AN18:BE18)</f>
        <v>0.99626191327056923</v>
      </c>
      <c r="BH18">
        <f>STDEV(AN18:BE18)/(COUNT(AN18:BE18)^0.5)</f>
        <v>6.5677539496383969E-2</v>
      </c>
    </row>
    <row r="19" spans="1:60" x14ac:dyDescent="0.25">
      <c r="B19" t="s">
        <v>7</v>
      </c>
      <c r="C19" t="s">
        <v>7</v>
      </c>
      <c r="D19" t="s">
        <v>8</v>
      </c>
      <c r="E19" t="s">
        <v>8</v>
      </c>
      <c r="F19" t="s">
        <v>9</v>
      </c>
      <c r="G19" t="s">
        <v>9</v>
      </c>
      <c r="H19" t="s">
        <v>10</v>
      </c>
      <c r="I19" t="s">
        <v>10</v>
      </c>
      <c r="J19" t="s">
        <v>11</v>
      </c>
      <c r="K19" t="s">
        <v>11</v>
      </c>
      <c r="L19" t="s">
        <v>12</v>
      </c>
      <c r="M19" t="s">
        <v>12</v>
      </c>
      <c r="N19" t="s">
        <v>13</v>
      </c>
      <c r="O19" t="s">
        <v>13</v>
      </c>
      <c r="P19" t="s">
        <v>14</v>
      </c>
      <c r="Q19" t="s">
        <v>14</v>
      </c>
      <c r="R19" t="s">
        <v>15</v>
      </c>
      <c r="S19" t="s">
        <v>15</v>
      </c>
      <c r="T19" t="s">
        <v>16</v>
      </c>
      <c r="U19" t="s">
        <v>16</v>
      </c>
      <c r="V19" t="s">
        <v>17</v>
      </c>
      <c r="W19" t="s">
        <v>17</v>
      </c>
      <c r="X19" t="s">
        <v>18</v>
      </c>
      <c r="Y19" t="s">
        <v>18</v>
      </c>
      <c r="Z19" t="s">
        <v>19</v>
      </c>
      <c r="AA19" t="s">
        <v>19</v>
      </c>
      <c r="AB19" t="s">
        <v>20</v>
      </c>
      <c r="AC19" t="s">
        <v>20</v>
      </c>
      <c r="AD19" t="s">
        <v>21</v>
      </c>
      <c r="AE19" t="s">
        <v>21</v>
      </c>
      <c r="AF19" t="s">
        <v>22</v>
      </c>
      <c r="AG19" t="s">
        <v>22</v>
      </c>
      <c r="AH19" t="s">
        <v>23</v>
      </c>
      <c r="AI19" t="s">
        <v>23</v>
      </c>
      <c r="AJ19" t="s">
        <v>24</v>
      </c>
      <c r="AK19" t="s">
        <v>24</v>
      </c>
    </row>
    <row r="20" spans="1:60" x14ac:dyDescent="0.25">
      <c r="B20" t="s">
        <v>5</v>
      </c>
      <c r="C20" t="s">
        <v>6</v>
      </c>
      <c r="D20" t="s">
        <v>5</v>
      </c>
      <c r="E20" t="s">
        <v>6</v>
      </c>
      <c r="F20" t="s">
        <v>5</v>
      </c>
      <c r="G20" t="s">
        <v>6</v>
      </c>
      <c r="H20" t="s">
        <v>5</v>
      </c>
      <c r="I20" t="s">
        <v>6</v>
      </c>
      <c r="J20" t="s">
        <v>5</v>
      </c>
      <c r="K20" t="s">
        <v>6</v>
      </c>
      <c r="L20" t="s">
        <v>5</v>
      </c>
      <c r="M20" t="s">
        <v>6</v>
      </c>
      <c r="N20" t="s">
        <v>5</v>
      </c>
      <c r="O20" t="s">
        <v>6</v>
      </c>
      <c r="P20" t="s">
        <v>5</v>
      </c>
      <c r="Q20" t="s">
        <v>6</v>
      </c>
      <c r="R20" t="s">
        <v>5</v>
      </c>
      <c r="S20" t="s">
        <v>6</v>
      </c>
      <c r="T20" t="s">
        <v>5</v>
      </c>
      <c r="U20" t="s">
        <v>6</v>
      </c>
      <c r="V20" t="s">
        <v>5</v>
      </c>
      <c r="W20" t="s">
        <v>6</v>
      </c>
      <c r="X20" t="s">
        <v>5</v>
      </c>
      <c r="Y20" t="s">
        <v>6</v>
      </c>
      <c r="Z20" t="s">
        <v>5</v>
      </c>
      <c r="AA20" t="s">
        <v>6</v>
      </c>
      <c r="AB20" t="s">
        <v>5</v>
      </c>
      <c r="AC20" t="s">
        <v>6</v>
      </c>
      <c r="AD20" t="s">
        <v>5</v>
      </c>
      <c r="AE20" t="s">
        <v>6</v>
      </c>
      <c r="AF20" t="s">
        <v>5</v>
      </c>
      <c r="AG20" t="s">
        <v>6</v>
      </c>
      <c r="AH20" t="s">
        <v>5</v>
      </c>
      <c r="AI20" t="s">
        <v>6</v>
      </c>
      <c r="AJ20" t="s">
        <v>5</v>
      </c>
      <c r="AK20" t="s">
        <v>6</v>
      </c>
    </row>
    <row r="21" spans="1:60" x14ac:dyDescent="0.25">
      <c r="A21" t="s">
        <v>0</v>
      </c>
      <c r="D21">
        <v>4.99</v>
      </c>
      <c r="E21">
        <v>4.42</v>
      </c>
      <c r="F21">
        <v>4.6900000000000004</v>
      </c>
      <c r="H21">
        <v>3.82</v>
      </c>
      <c r="I21">
        <v>3.27</v>
      </c>
      <c r="M21">
        <v>3.39</v>
      </c>
      <c r="O21">
        <v>2.37</v>
      </c>
      <c r="P21">
        <v>5.3</v>
      </c>
      <c r="Q21">
        <v>5.0599999999999996</v>
      </c>
      <c r="S21">
        <v>4.6500000000000004</v>
      </c>
      <c r="T21">
        <v>5.76</v>
      </c>
      <c r="U21">
        <v>7.09</v>
      </c>
      <c r="Y21">
        <v>2.72</v>
      </c>
      <c r="Z21">
        <v>4.82</v>
      </c>
      <c r="AB21">
        <v>5.07</v>
      </c>
      <c r="AD21">
        <v>6.8</v>
      </c>
      <c r="AF21">
        <v>2.5099999999999998</v>
      </c>
      <c r="AI21">
        <v>3.93</v>
      </c>
      <c r="AJ21">
        <v>2.0299999999999998</v>
      </c>
      <c r="AK21">
        <v>2.9</v>
      </c>
    </row>
    <row r="22" spans="1:60" x14ac:dyDescent="0.25">
      <c r="A22" t="s">
        <v>1</v>
      </c>
      <c r="B22">
        <v>5.4</v>
      </c>
      <c r="C22">
        <v>3.62</v>
      </c>
      <c r="G22">
        <v>2.91</v>
      </c>
      <c r="H22">
        <v>4.5</v>
      </c>
      <c r="I22">
        <v>2.6</v>
      </c>
      <c r="J22">
        <v>4.18</v>
      </c>
      <c r="L22">
        <v>2.2200000000000002</v>
      </c>
      <c r="N22">
        <v>3.25</v>
      </c>
      <c r="O22">
        <v>3.13</v>
      </c>
      <c r="P22">
        <v>5.08</v>
      </c>
      <c r="X22">
        <v>2.33</v>
      </c>
      <c r="Z22">
        <v>3.76</v>
      </c>
      <c r="AA22">
        <v>3.65</v>
      </c>
      <c r="AC22">
        <v>4.87</v>
      </c>
      <c r="AD22">
        <v>5.34</v>
      </c>
      <c r="AE22">
        <v>5.41</v>
      </c>
      <c r="AH22">
        <v>2.16</v>
      </c>
    </row>
    <row r="23" spans="1:60" x14ac:dyDescent="0.25">
      <c r="A23" t="s">
        <v>2</v>
      </c>
      <c r="C23">
        <v>4.75</v>
      </c>
      <c r="D23">
        <v>2.29</v>
      </c>
      <c r="E23">
        <v>6</v>
      </c>
      <c r="G23">
        <v>3.53</v>
      </c>
      <c r="I23">
        <v>4.3</v>
      </c>
      <c r="K23">
        <v>3.71</v>
      </c>
      <c r="L23">
        <v>2.17</v>
      </c>
      <c r="N23">
        <v>2.68</v>
      </c>
      <c r="P23">
        <v>4.1399999999999997</v>
      </c>
      <c r="Q23">
        <v>4.72</v>
      </c>
      <c r="R23">
        <v>4.88</v>
      </c>
      <c r="S23">
        <v>5.15</v>
      </c>
      <c r="U23">
        <v>3.01</v>
      </c>
      <c r="Y23">
        <v>2.33</v>
      </c>
      <c r="Z23">
        <v>4.42</v>
      </c>
      <c r="AA23">
        <v>4.62</v>
      </c>
      <c r="AB23">
        <v>6.38</v>
      </c>
      <c r="AF23">
        <v>3.21</v>
      </c>
      <c r="AG23">
        <v>3.06</v>
      </c>
      <c r="AH23">
        <v>2.23</v>
      </c>
      <c r="AJ23">
        <v>1.73</v>
      </c>
      <c r="AK23">
        <v>1.46</v>
      </c>
    </row>
    <row r="24" spans="1:60" x14ac:dyDescent="0.25">
      <c r="A24" t="s">
        <v>3</v>
      </c>
      <c r="B24">
        <v>3.8</v>
      </c>
      <c r="F24">
        <v>6.31</v>
      </c>
      <c r="J24">
        <v>4.17</v>
      </c>
      <c r="K24">
        <v>2.0299999999999998</v>
      </c>
      <c r="L24">
        <v>1.57</v>
      </c>
      <c r="M24">
        <v>2.9</v>
      </c>
      <c r="O24">
        <v>2.46</v>
      </c>
      <c r="R24">
        <v>7.95</v>
      </c>
      <c r="S24">
        <v>5.09</v>
      </c>
      <c r="T24">
        <v>7.1</v>
      </c>
      <c r="X24">
        <v>2.31</v>
      </c>
      <c r="AC24">
        <v>4.82</v>
      </c>
      <c r="AD24">
        <v>7.6</v>
      </c>
      <c r="AE24">
        <v>4.4400000000000004</v>
      </c>
      <c r="AF24">
        <v>3.11</v>
      </c>
      <c r="AG24">
        <v>4.1399999999999997</v>
      </c>
      <c r="AH24">
        <v>3.12</v>
      </c>
      <c r="AI24">
        <v>2.52</v>
      </c>
      <c r="AK24">
        <v>2.95</v>
      </c>
    </row>
    <row r="25" spans="1:60" x14ac:dyDescent="0.25">
      <c r="A25" t="s">
        <v>4</v>
      </c>
      <c r="B25">
        <v>5.45</v>
      </c>
      <c r="C25">
        <v>6.45</v>
      </c>
      <c r="D25">
        <v>2.77</v>
      </c>
      <c r="E25">
        <v>3.45</v>
      </c>
      <c r="F25">
        <v>4.47</v>
      </c>
      <c r="G25">
        <v>3.53</v>
      </c>
      <c r="H25">
        <v>4.13</v>
      </c>
      <c r="J25">
        <v>7.47</v>
      </c>
      <c r="K25">
        <v>8.08</v>
      </c>
      <c r="M25">
        <v>2.86</v>
      </c>
      <c r="N25">
        <v>1.35</v>
      </c>
      <c r="Q25">
        <v>5.03</v>
      </c>
      <c r="R25">
        <v>5.15</v>
      </c>
      <c r="T25">
        <v>5.0599999999999996</v>
      </c>
      <c r="U25">
        <v>9.31</v>
      </c>
      <c r="X25">
        <v>4.3600000000000003</v>
      </c>
      <c r="Y25">
        <v>1.79</v>
      </c>
      <c r="AA25">
        <v>4.42</v>
      </c>
      <c r="AB25">
        <v>4.3099999999999996</v>
      </c>
      <c r="AC25">
        <v>4.57</v>
      </c>
      <c r="AE25">
        <v>5.84</v>
      </c>
      <c r="AG25">
        <v>4.1900000000000004</v>
      </c>
      <c r="AI25">
        <v>3.51</v>
      </c>
      <c r="AJ25">
        <v>1.79</v>
      </c>
    </row>
    <row r="26" spans="1:60" x14ac:dyDescent="0.25">
      <c r="A26" s="1">
        <v>45533</v>
      </c>
      <c r="B26" s="4">
        <f>AVERAGE(B29:B33)</f>
        <v>4.6900000000000004</v>
      </c>
      <c r="C26" s="4">
        <f t="shared" ref="C26:AK26" si="3">AVERAGE(C29:C33)</f>
        <v>3.4266666666666672</v>
      </c>
      <c r="D26" s="4">
        <f t="shared" si="3"/>
        <v>5.2033333333333331</v>
      </c>
      <c r="E26" s="4">
        <f t="shared" si="3"/>
        <v>6.41</v>
      </c>
      <c r="F26" s="4">
        <f>AVERAGE(F29:F33)</f>
        <v>7.2233333333333327</v>
      </c>
      <c r="G26" s="4">
        <f t="shared" si="3"/>
        <v>6.1933333333333342</v>
      </c>
      <c r="H26" s="4">
        <f t="shared" si="3"/>
        <v>4.0133333333333328</v>
      </c>
      <c r="I26" s="4">
        <f t="shared" si="3"/>
        <v>5.3433333333333337</v>
      </c>
      <c r="J26" s="4">
        <f t="shared" si="3"/>
        <v>3.5466666666666669</v>
      </c>
      <c r="K26" s="4">
        <f t="shared" si="3"/>
        <v>3.0066666666666673</v>
      </c>
      <c r="L26" s="4">
        <f t="shared" si="3"/>
        <v>2.3133333333333335</v>
      </c>
      <c r="M26" s="4">
        <f t="shared" si="3"/>
        <v>3.2666666666666671</v>
      </c>
      <c r="N26" s="4">
        <f t="shared" si="3"/>
        <v>3.5700000000000003</v>
      </c>
      <c r="O26" s="4">
        <f t="shared" si="3"/>
        <v>3.4966666666666666</v>
      </c>
      <c r="P26" s="4">
        <f t="shared" si="3"/>
        <v>3.7533333333333334</v>
      </c>
      <c r="Q26" s="4">
        <f t="shared" si="3"/>
        <v>4.3099999999999996</v>
      </c>
      <c r="R26" s="4">
        <f t="shared" si="3"/>
        <v>4.5200000000000005</v>
      </c>
      <c r="S26" s="4">
        <f t="shared" si="3"/>
        <v>3.25</v>
      </c>
      <c r="T26" s="4">
        <f t="shared" si="3"/>
        <v>4.8433333333333337</v>
      </c>
      <c r="U26" s="4">
        <f t="shared" si="3"/>
        <v>3.7566666666666664</v>
      </c>
      <c r="V26" s="4"/>
      <c r="W26" s="4"/>
      <c r="X26" s="4">
        <f t="shared" si="3"/>
        <v>4.63</v>
      </c>
      <c r="Y26" s="4">
        <f t="shared" si="3"/>
        <v>4.1499999999999995</v>
      </c>
      <c r="Z26" s="4">
        <f t="shared" si="3"/>
        <v>3.6700000000000004</v>
      </c>
      <c r="AA26" s="4">
        <f t="shared" si="3"/>
        <v>3.3800000000000003</v>
      </c>
      <c r="AB26" s="4">
        <f t="shared" si="3"/>
        <v>2.0524999999999998</v>
      </c>
      <c r="AC26" s="4">
        <f t="shared" si="3"/>
        <v>1.96</v>
      </c>
      <c r="AD26" s="4">
        <f t="shared" si="3"/>
        <v>3.8033333333333332</v>
      </c>
      <c r="AE26" s="4">
        <f t="shared" si="3"/>
        <v>2.6533333333333329</v>
      </c>
      <c r="AF26" s="4">
        <f t="shared" si="3"/>
        <v>3.9133333333333336</v>
      </c>
      <c r="AG26" s="4">
        <f t="shared" si="3"/>
        <v>3.9599999999999995</v>
      </c>
      <c r="AH26" s="4">
        <f t="shared" si="3"/>
        <v>3.66</v>
      </c>
      <c r="AI26" s="4">
        <f t="shared" si="3"/>
        <v>3.35</v>
      </c>
      <c r="AJ26" s="4">
        <f t="shared" si="3"/>
        <v>3.0766666666666667</v>
      </c>
      <c r="AK26" s="4">
        <f t="shared" si="3"/>
        <v>3.6266666666666665</v>
      </c>
      <c r="AM26" s="5" t="s">
        <v>37</v>
      </c>
      <c r="AN26">
        <f>B26/C26</f>
        <v>1.3686770428015562</v>
      </c>
      <c r="AO26">
        <f>D26/E26</f>
        <v>0.81175247009880391</v>
      </c>
      <c r="AP26">
        <f>F26/G26</f>
        <v>1.1663078579117327</v>
      </c>
      <c r="AQ26">
        <f>H26/I26</f>
        <v>0.75109170305676842</v>
      </c>
      <c r="AR26">
        <f>J26/K26</f>
        <v>1.1796008869179599</v>
      </c>
      <c r="AS26">
        <f>L26/M26</f>
        <v>0.70816326530612239</v>
      </c>
      <c r="AT26">
        <f>O26/P26</f>
        <v>0.93161634103019531</v>
      </c>
      <c r="AU26">
        <f>P26/Q26</f>
        <v>0.87084300077339527</v>
      </c>
      <c r="AV26">
        <f>R26/S26</f>
        <v>1.390769230769231</v>
      </c>
      <c r="AW26">
        <f>T26/U26</f>
        <v>1.2892635314995566</v>
      </c>
      <c r="AY26">
        <f>X26/Y26</f>
        <v>1.1156626506024097</v>
      </c>
      <c r="AZ26">
        <f>Z26/AA26</f>
        <v>1.0857988165680474</v>
      </c>
      <c r="BA26">
        <f>AB26/AC26</f>
        <v>1.0471938775510203</v>
      </c>
      <c r="BB26">
        <f>AD26/AE26</f>
        <v>1.433417085427136</v>
      </c>
      <c r="BC26">
        <f>AF26/AG26</f>
        <v>0.98821548821548844</v>
      </c>
      <c r="BD26">
        <f>AH26/AI26</f>
        <v>1.0925373134328358</v>
      </c>
      <c r="BE26">
        <f>AJ26/AK26</f>
        <v>0.84834558823529416</v>
      </c>
      <c r="BF26">
        <v>4</v>
      </c>
      <c r="BG26">
        <f>AVERAGE(AN26:BE26)</f>
        <v>1.0634856558939738</v>
      </c>
      <c r="BH26">
        <f>STDEV(AN26:BE26)/(COUNT(AN26:BE26)^0.5)</f>
        <v>5.4574936913683113E-2</v>
      </c>
    </row>
    <row r="27" spans="1:60" x14ac:dyDescent="0.25">
      <c r="B27" t="s">
        <v>7</v>
      </c>
      <c r="C27" t="s">
        <v>7</v>
      </c>
      <c r="D27" t="s">
        <v>8</v>
      </c>
      <c r="E27" t="s">
        <v>8</v>
      </c>
      <c r="F27" t="s">
        <v>9</v>
      </c>
      <c r="G27" t="s">
        <v>9</v>
      </c>
      <c r="H27" t="s">
        <v>10</v>
      </c>
      <c r="I27" t="s">
        <v>10</v>
      </c>
      <c r="J27" t="s">
        <v>11</v>
      </c>
      <c r="K27" t="s">
        <v>11</v>
      </c>
      <c r="L27" t="s">
        <v>12</v>
      </c>
      <c r="M27" t="s">
        <v>12</v>
      </c>
      <c r="N27" t="s">
        <v>13</v>
      </c>
      <c r="O27" t="s">
        <v>13</v>
      </c>
      <c r="P27" t="s">
        <v>14</v>
      </c>
      <c r="Q27" t="s">
        <v>14</v>
      </c>
      <c r="R27" t="s">
        <v>15</v>
      </c>
      <c r="S27" t="s">
        <v>15</v>
      </c>
      <c r="T27" t="s">
        <v>16</v>
      </c>
      <c r="U27" t="s">
        <v>16</v>
      </c>
      <c r="V27" t="s">
        <v>17</v>
      </c>
      <c r="W27" t="s">
        <v>17</v>
      </c>
      <c r="X27" t="s">
        <v>18</v>
      </c>
      <c r="Y27" t="s">
        <v>18</v>
      </c>
      <c r="Z27" t="s">
        <v>19</v>
      </c>
      <c r="AA27" t="s">
        <v>19</v>
      </c>
      <c r="AB27" t="s">
        <v>20</v>
      </c>
      <c r="AC27" t="s">
        <v>20</v>
      </c>
      <c r="AD27" t="s">
        <v>21</v>
      </c>
      <c r="AE27" t="s">
        <v>21</v>
      </c>
      <c r="AF27" t="s">
        <v>22</v>
      </c>
      <c r="AG27" t="s">
        <v>22</v>
      </c>
      <c r="AH27" t="s">
        <v>23</v>
      </c>
      <c r="AI27" t="s">
        <v>23</v>
      </c>
      <c r="AJ27" t="s">
        <v>24</v>
      </c>
      <c r="AK27" t="s">
        <v>24</v>
      </c>
    </row>
    <row r="28" spans="1:60" x14ac:dyDescent="0.25">
      <c r="B28" t="s">
        <v>5</v>
      </c>
      <c r="C28" t="s">
        <v>6</v>
      </c>
      <c r="D28" t="s">
        <v>5</v>
      </c>
      <c r="E28" t="s">
        <v>6</v>
      </c>
      <c r="F28" t="s">
        <v>5</v>
      </c>
      <c r="G28" t="s">
        <v>6</v>
      </c>
      <c r="H28" t="s">
        <v>5</v>
      </c>
      <c r="I28" t="s">
        <v>6</v>
      </c>
      <c r="J28" t="s">
        <v>5</v>
      </c>
      <c r="K28" t="s">
        <v>6</v>
      </c>
      <c r="L28" t="s">
        <v>5</v>
      </c>
      <c r="M28" t="s">
        <v>6</v>
      </c>
      <c r="N28" t="s">
        <v>5</v>
      </c>
      <c r="O28" t="s">
        <v>6</v>
      </c>
      <c r="P28" t="s">
        <v>5</v>
      </c>
      <c r="Q28" t="s">
        <v>6</v>
      </c>
      <c r="R28" t="s">
        <v>5</v>
      </c>
      <c r="S28" t="s">
        <v>6</v>
      </c>
      <c r="T28" t="s">
        <v>5</v>
      </c>
      <c r="U28" t="s">
        <v>6</v>
      </c>
      <c r="V28" t="s">
        <v>5</v>
      </c>
      <c r="W28" t="s">
        <v>6</v>
      </c>
      <c r="X28" t="s">
        <v>5</v>
      </c>
      <c r="Y28" t="s">
        <v>6</v>
      </c>
      <c r="Z28" t="s">
        <v>5</v>
      </c>
      <c r="AA28" t="s">
        <v>6</v>
      </c>
      <c r="AB28" t="s">
        <v>5</v>
      </c>
      <c r="AC28" t="s">
        <v>6</v>
      </c>
      <c r="AD28" t="s">
        <v>5</v>
      </c>
      <c r="AE28" t="s">
        <v>6</v>
      </c>
      <c r="AF28" t="s">
        <v>5</v>
      </c>
      <c r="AG28" t="s">
        <v>6</v>
      </c>
      <c r="AH28" t="s">
        <v>5</v>
      </c>
      <c r="AI28" t="s">
        <v>6</v>
      </c>
      <c r="AJ28" t="s">
        <v>5</v>
      </c>
      <c r="AK28" t="s">
        <v>6</v>
      </c>
    </row>
    <row r="29" spans="1:60" x14ac:dyDescent="0.25">
      <c r="A29" t="s">
        <v>0</v>
      </c>
      <c r="B29">
        <v>4.95</v>
      </c>
      <c r="E29">
        <v>4.58</v>
      </c>
      <c r="F29">
        <v>5.28</v>
      </c>
      <c r="H29">
        <v>3.15</v>
      </c>
      <c r="L29">
        <v>2.0499999999999998</v>
      </c>
      <c r="O29">
        <v>3.45</v>
      </c>
      <c r="P29">
        <v>2.77</v>
      </c>
      <c r="T29">
        <v>4.18</v>
      </c>
      <c r="U29">
        <v>2.21</v>
      </c>
      <c r="X29">
        <v>6.43</v>
      </c>
      <c r="Y29">
        <v>4.5</v>
      </c>
      <c r="Z29">
        <v>3.48</v>
      </c>
      <c r="AA29">
        <v>3.8</v>
      </c>
      <c r="AB29">
        <v>2.33</v>
      </c>
      <c r="AD29">
        <v>2.33</v>
      </c>
      <c r="AG29">
        <v>3.84</v>
      </c>
      <c r="AH29">
        <v>3.52</v>
      </c>
      <c r="AI29">
        <v>3.96</v>
      </c>
    </row>
    <row r="30" spans="1:60" x14ac:dyDescent="0.25">
      <c r="A30" t="s">
        <v>1</v>
      </c>
      <c r="B30">
        <v>3.98</v>
      </c>
      <c r="C30">
        <v>3.54</v>
      </c>
      <c r="E30">
        <v>7.13</v>
      </c>
      <c r="F30">
        <v>8.92</v>
      </c>
      <c r="I30">
        <v>4.43</v>
      </c>
      <c r="J30">
        <v>2.91</v>
      </c>
      <c r="L30">
        <v>2.4300000000000002</v>
      </c>
      <c r="M30">
        <v>2.95</v>
      </c>
      <c r="N30">
        <v>3.74</v>
      </c>
      <c r="Q30">
        <v>5.5</v>
      </c>
      <c r="R30">
        <v>4.91</v>
      </c>
      <c r="U30">
        <v>3.42</v>
      </c>
      <c r="X30">
        <v>4.0999999999999996</v>
      </c>
      <c r="Y30">
        <v>3.23</v>
      </c>
      <c r="Z30">
        <v>3.74</v>
      </c>
      <c r="AA30">
        <v>3.49</v>
      </c>
      <c r="AJ30">
        <v>3.35</v>
      </c>
      <c r="AK30">
        <v>3.43</v>
      </c>
    </row>
    <row r="31" spans="1:60" x14ac:dyDescent="0.25">
      <c r="A31" t="s">
        <v>2</v>
      </c>
      <c r="C31">
        <v>2.67</v>
      </c>
      <c r="D31">
        <v>3.89</v>
      </c>
      <c r="E31">
        <v>7.52</v>
      </c>
      <c r="F31">
        <v>7.47</v>
      </c>
      <c r="G31">
        <v>8.27</v>
      </c>
      <c r="H31">
        <v>4.28</v>
      </c>
      <c r="J31">
        <v>3.65</v>
      </c>
      <c r="K31">
        <v>3.99</v>
      </c>
      <c r="L31">
        <v>2.46</v>
      </c>
      <c r="M31">
        <v>3.95</v>
      </c>
      <c r="N31">
        <v>4.0199999999999996</v>
      </c>
      <c r="O31">
        <v>3.71</v>
      </c>
      <c r="Q31">
        <v>2.89</v>
      </c>
      <c r="R31">
        <v>4.4800000000000004</v>
      </c>
      <c r="S31">
        <v>2.76</v>
      </c>
      <c r="T31">
        <v>5.3</v>
      </c>
      <c r="Y31">
        <v>4.72</v>
      </c>
      <c r="AB31">
        <v>1.91</v>
      </c>
      <c r="AC31">
        <v>1.91</v>
      </c>
      <c r="AE31">
        <v>1.98</v>
      </c>
      <c r="AF31">
        <v>4.17</v>
      </c>
      <c r="AG31">
        <v>3.86</v>
      </c>
      <c r="AH31">
        <v>3.59</v>
      </c>
      <c r="AK31">
        <v>3.36</v>
      </c>
    </row>
    <row r="32" spans="1:60" x14ac:dyDescent="0.25">
      <c r="A32" t="s">
        <v>3</v>
      </c>
      <c r="B32">
        <v>5.14</v>
      </c>
      <c r="D32">
        <v>5.56</v>
      </c>
      <c r="G32">
        <v>4.62</v>
      </c>
      <c r="H32">
        <v>4.6100000000000003</v>
      </c>
      <c r="I32">
        <v>5.95</v>
      </c>
      <c r="K32">
        <v>2.2200000000000002</v>
      </c>
      <c r="M32">
        <v>2.9</v>
      </c>
      <c r="N32">
        <v>2.95</v>
      </c>
      <c r="P32">
        <v>6.43</v>
      </c>
      <c r="R32">
        <v>4.17</v>
      </c>
      <c r="S32">
        <v>3.44</v>
      </c>
      <c r="T32">
        <v>5.05</v>
      </c>
      <c r="U32">
        <v>5.64</v>
      </c>
      <c r="X32">
        <v>3.36</v>
      </c>
      <c r="Z32">
        <v>3.79</v>
      </c>
      <c r="AB32">
        <v>2.36</v>
      </c>
      <c r="AC32">
        <v>2.36</v>
      </c>
      <c r="AD32">
        <v>4.28</v>
      </c>
      <c r="AE32">
        <v>3.7</v>
      </c>
      <c r="AF32">
        <v>3.81</v>
      </c>
      <c r="AG32">
        <v>4.18</v>
      </c>
      <c r="AI32">
        <v>2.8</v>
      </c>
      <c r="AJ32">
        <v>3.71</v>
      </c>
      <c r="AK32">
        <v>4.09</v>
      </c>
    </row>
    <row r="33" spans="1:60" x14ac:dyDescent="0.25">
      <c r="A33" t="s">
        <v>4</v>
      </c>
      <c r="C33">
        <v>4.07</v>
      </c>
      <c r="D33">
        <v>6.16</v>
      </c>
      <c r="G33">
        <v>5.69</v>
      </c>
      <c r="I33">
        <v>5.65</v>
      </c>
      <c r="J33">
        <v>4.08</v>
      </c>
      <c r="K33">
        <v>2.81</v>
      </c>
      <c r="O33">
        <v>3.33</v>
      </c>
      <c r="P33">
        <v>2.06</v>
      </c>
      <c r="Q33">
        <v>4.54</v>
      </c>
      <c r="S33">
        <v>3.55</v>
      </c>
      <c r="AA33">
        <v>2.85</v>
      </c>
      <c r="AB33">
        <v>1.61</v>
      </c>
      <c r="AC33">
        <v>1.61</v>
      </c>
      <c r="AD33">
        <v>4.8</v>
      </c>
      <c r="AE33">
        <v>2.2799999999999998</v>
      </c>
      <c r="AF33">
        <v>3.76</v>
      </c>
      <c r="AH33">
        <v>3.87</v>
      </c>
      <c r="AI33">
        <v>3.29</v>
      </c>
      <c r="AJ33">
        <v>2.17</v>
      </c>
    </row>
    <row r="34" spans="1:60" x14ac:dyDescent="0.25">
      <c r="A34" s="1">
        <v>45548</v>
      </c>
      <c r="B34" s="4">
        <f>AVERAGE(B37:B41)</f>
        <v>4.26</v>
      </c>
      <c r="C34" s="4">
        <f t="shared" ref="C34:AK34" si="4">AVERAGE(C37:C41)</f>
        <v>2.72</v>
      </c>
      <c r="D34" s="4">
        <f t="shared" si="4"/>
        <v>5.0566666666666658</v>
      </c>
      <c r="E34" s="4">
        <f t="shared" si="4"/>
        <v>5.503333333333333</v>
      </c>
      <c r="F34" s="4">
        <f>AVERAGE(F37:F41)</f>
        <v>7.2433333333333332</v>
      </c>
      <c r="G34" s="4">
        <f t="shared" si="4"/>
        <v>5.2166666666666677</v>
      </c>
      <c r="H34" s="4">
        <f t="shared" si="4"/>
        <v>3.6066666666666669</v>
      </c>
      <c r="I34" s="4">
        <f t="shared" si="4"/>
        <v>4.4066666666666663</v>
      </c>
      <c r="J34" s="4">
        <f t="shared" si="4"/>
        <v>6.1133333333333333</v>
      </c>
      <c r="K34" s="4">
        <f t="shared" si="4"/>
        <v>3.8633333333333333</v>
      </c>
      <c r="L34" s="4">
        <f t="shared" si="4"/>
        <v>3.25</v>
      </c>
      <c r="M34" s="4">
        <f t="shared" si="4"/>
        <v>4.2</v>
      </c>
      <c r="N34" s="4">
        <f t="shared" si="4"/>
        <v>1.5266666666666666</v>
      </c>
      <c r="O34" s="4">
        <f t="shared" si="4"/>
        <v>2.08</v>
      </c>
      <c r="P34" s="4">
        <f t="shared" si="4"/>
        <v>4.1366666666666658</v>
      </c>
      <c r="Q34" s="4">
        <f t="shared" si="4"/>
        <v>3.7933333333333334</v>
      </c>
      <c r="R34" s="4">
        <f t="shared" si="4"/>
        <v>2.0833333333333335</v>
      </c>
      <c r="S34" s="4">
        <f t="shared" si="4"/>
        <v>2.5266666666666668</v>
      </c>
      <c r="T34" s="4">
        <f t="shared" si="4"/>
        <v>4.6533333333333333</v>
      </c>
      <c r="U34" s="4">
        <f t="shared" si="4"/>
        <v>3.28</v>
      </c>
      <c r="V34" s="4"/>
      <c r="W34" s="4"/>
      <c r="X34" s="4">
        <f t="shared" si="4"/>
        <v>2.4866666666666668</v>
      </c>
      <c r="Y34" s="4">
        <f t="shared" si="4"/>
        <v>2.2200000000000002</v>
      </c>
      <c r="Z34" s="4">
        <f t="shared" si="4"/>
        <v>3.4966666666666666</v>
      </c>
      <c r="AA34" s="4">
        <f t="shared" si="4"/>
        <v>2.6766666666666663</v>
      </c>
      <c r="AB34" s="4">
        <f t="shared" si="4"/>
        <v>3.6833333333333336</v>
      </c>
      <c r="AC34" s="4">
        <f t="shared" si="4"/>
        <v>4.9300000000000006</v>
      </c>
      <c r="AD34" s="4">
        <f t="shared" si="4"/>
        <v>2.8699999999999997</v>
      </c>
      <c r="AE34" s="4">
        <f t="shared" si="4"/>
        <v>2.2833333333333337</v>
      </c>
      <c r="AF34" s="4">
        <f t="shared" si="4"/>
        <v>3.2600000000000002</v>
      </c>
      <c r="AG34" s="4">
        <f t="shared" si="4"/>
        <v>2.3933333333333331</v>
      </c>
      <c r="AH34" s="4">
        <f t="shared" si="4"/>
        <v>1.64</v>
      </c>
      <c r="AI34" s="4">
        <f t="shared" si="4"/>
        <v>4.2866666666666662</v>
      </c>
      <c r="AJ34" s="4">
        <f t="shared" si="4"/>
        <v>2.2666666666666671</v>
      </c>
      <c r="AK34" s="4">
        <f t="shared" si="4"/>
        <v>1.4033333333333333</v>
      </c>
      <c r="AM34" s="5" t="s">
        <v>38</v>
      </c>
      <c r="AN34">
        <f>B34/C34</f>
        <v>1.5661764705882351</v>
      </c>
      <c r="AO34">
        <f>D34/E34</f>
        <v>0.91883706844336754</v>
      </c>
      <c r="AP34">
        <f>F34/G34</f>
        <v>1.3884984025559102</v>
      </c>
      <c r="AQ34">
        <f>H34/I34</f>
        <v>0.8184568835098337</v>
      </c>
      <c r="AR34">
        <f>J34/K34</f>
        <v>1.5823986194995685</v>
      </c>
      <c r="AS34">
        <f>L34/M34</f>
        <v>0.77380952380952372</v>
      </c>
      <c r="AT34">
        <f>O34/P34</f>
        <v>0.50282030620467377</v>
      </c>
      <c r="AU34">
        <f>P34/Q34</f>
        <v>1.0905096660808433</v>
      </c>
      <c r="AV34">
        <f>R34/S34</f>
        <v>0.82453825857519791</v>
      </c>
      <c r="AW34">
        <f>T34/U34</f>
        <v>1.4186991869918699</v>
      </c>
      <c r="AY34">
        <f>X34/Y34</f>
        <v>1.1201201201201201</v>
      </c>
      <c r="AZ34">
        <f>Z34/AA34</f>
        <v>1.3063511830635119</v>
      </c>
      <c r="BA34">
        <f>AB34/AC34</f>
        <v>0.74712643678160917</v>
      </c>
      <c r="BB34">
        <f>AD34/AE34</f>
        <v>1.2569343065693428</v>
      </c>
      <c r="BC34">
        <f>AF34/AG34</f>
        <v>1.3621169916434543</v>
      </c>
      <c r="BD34">
        <f>AH34/AI34</f>
        <v>0.38258164852255055</v>
      </c>
      <c r="BE34">
        <f>AJ34/AK34</f>
        <v>1.61520190023753</v>
      </c>
      <c r="BF34">
        <v>5</v>
      </c>
      <c r="BG34">
        <f>AVERAGE(AN34:BE34)</f>
        <v>1.0985398219527731</v>
      </c>
      <c r="BH34">
        <f>STDEV(AN34:BE34)/(COUNT(AN34:BE34)^0.5)</f>
        <v>9.2490737482731927E-2</v>
      </c>
    </row>
    <row r="35" spans="1:60" x14ac:dyDescent="0.25">
      <c r="B35" t="s">
        <v>7</v>
      </c>
      <c r="C35" t="s">
        <v>7</v>
      </c>
      <c r="D35" t="s">
        <v>8</v>
      </c>
      <c r="E35" t="s">
        <v>8</v>
      </c>
      <c r="F35" t="s">
        <v>9</v>
      </c>
      <c r="G35" t="s">
        <v>9</v>
      </c>
      <c r="H35" t="s">
        <v>10</v>
      </c>
      <c r="I35" t="s">
        <v>10</v>
      </c>
      <c r="J35" t="s">
        <v>11</v>
      </c>
      <c r="K35" t="s">
        <v>11</v>
      </c>
      <c r="L35" t="s">
        <v>12</v>
      </c>
      <c r="M35" t="s">
        <v>12</v>
      </c>
      <c r="N35" t="s">
        <v>13</v>
      </c>
      <c r="O35" t="s">
        <v>13</v>
      </c>
      <c r="P35" t="s">
        <v>14</v>
      </c>
      <c r="Q35" t="s">
        <v>14</v>
      </c>
      <c r="R35" t="s">
        <v>15</v>
      </c>
      <c r="S35" t="s">
        <v>15</v>
      </c>
      <c r="T35" t="s">
        <v>16</v>
      </c>
      <c r="U35" t="s">
        <v>16</v>
      </c>
      <c r="V35" t="s">
        <v>17</v>
      </c>
      <c r="W35" t="s">
        <v>17</v>
      </c>
      <c r="X35" t="s">
        <v>18</v>
      </c>
      <c r="Y35" t="s">
        <v>18</v>
      </c>
      <c r="Z35" t="s">
        <v>19</v>
      </c>
      <c r="AA35" t="s">
        <v>19</v>
      </c>
      <c r="AB35" t="s">
        <v>20</v>
      </c>
      <c r="AC35" t="s">
        <v>20</v>
      </c>
      <c r="AD35" t="s">
        <v>21</v>
      </c>
      <c r="AE35" t="s">
        <v>21</v>
      </c>
      <c r="AF35" t="s">
        <v>22</v>
      </c>
      <c r="AG35" t="s">
        <v>22</v>
      </c>
      <c r="AH35" t="s">
        <v>23</v>
      </c>
      <c r="AI35" t="s">
        <v>23</v>
      </c>
      <c r="AJ35" t="s">
        <v>24</v>
      </c>
      <c r="AK35" t="s">
        <v>24</v>
      </c>
    </row>
    <row r="36" spans="1:60" x14ac:dyDescent="0.25">
      <c r="B36" t="s">
        <v>5</v>
      </c>
      <c r="C36" t="s">
        <v>6</v>
      </c>
      <c r="D36" t="s">
        <v>5</v>
      </c>
      <c r="E36" t="s">
        <v>6</v>
      </c>
      <c r="F36" t="s">
        <v>5</v>
      </c>
      <c r="G36" t="s">
        <v>6</v>
      </c>
      <c r="H36" t="s">
        <v>5</v>
      </c>
      <c r="I36" t="s">
        <v>6</v>
      </c>
      <c r="J36" t="s">
        <v>5</v>
      </c>
      <c r="K36" t="s">
        <v>6</v>
      </c>
      <c r="L36" t="s">
        <v>5</v>
      </c>
      <c r="M36" t="s">
        <v>6</v>
      </c>
      <c r="N36" t="s">
        <v>5</v>
      </c>
      <c r="O36" t="s">
        <v>6</v>
      </c>
      <c r="P36" t="s">
        <v>5</v>
      </c>
      <c r="Q36" t="s">
        <v>6</v>
      </c>
      <c r="R36" t="s">
        <v>5</v>
      </c>
      <c r="S36" t="s">
        <v>6</v>
      </c>
      <c r="T36" t="s">
        <v>5</v>
      </c>
      <c r="U36" t="s">
        <v>6</v>
      </c>
      <c r="V36" t="s">
        <v>5</v>
      </c>
      <c r="W36" t="s">
        <v>6</v>
      </c>
      <c r="X36" t="s">
        <v>5</v>
      </c>
      <c r="Y36" t="s">
        <v>6</v>
      </c>
      <c r="Z36" t="s">
        <v>5</v>
      </c>
      <c r="AA36" t="s">
        <v>6</v>
      </c>
      <c r="AB36" t="s">
        <v>5</v>
      </c>
      <c r="AC36" t="s">
        <v>6</v>
      </c>
      <c r="AD36" t="s">
        <v>5</v>
      </c>
      <c r="AE36" t="s">
        <v>6</v>
      </c>
      <c r="AF36" t="s">
        <v>5</v>
      </c>
      <c r="AG36" t="s">
        <v>6</v>
      </c>
      <c r="AH36" t="s">
        <v>5</v>
      </c>
      <c r="AI36" t="s">
        <v>6</v>
      </c>
      <c r="AJ36" t="s">
        <v>5</v>
      </c>
      <c r="AK36" t="s">
        <v>6</v>
      </c>
    </row>
    <row r="37" spans="1:60" x14ac:dyDescent="0.25">
      <c r="A37" t="s">
        <v>0</v>
      </c>
      <c r="D37">
        <v>3.59</v>
      </c>
      <c r="E37">
        <v>3.25</v>
      </c>
      <c r="F37">
        <v>6.36</v>
      </c>
      <c r="I37">
        <v>2.89</v>
      </c>
      <c r="K37">
        <v>1.88</v>
      </c>
      <c r="L37">
        <v>2.92</v>
      </c>
      <c r="M37">
        <v>1.22</v>
      </c>
      <c r="N37">
        <v>1.54</v>
      </c>
      <c r="O37">
        <v>0.93</v>
      </c>
      <c r="P37">
        <v>2.96</v>
      </c>
      <c r="S37">
        <v>1.89</v>
      </c>
      <c r="T37">
        <v>5.26</v>
      </c>
      <c r="X37">
        <v>2.79</v>
      </c>
      <c r="Y37">
        <v>1.79</v>
      </c>
      <c r="AA37">
        <v>2.15</v>
      </c>
      <c r="AE37">
        <v>2.92</v>
      </c>
      <c r="AF37">
        <v>4.9800000000000004</v>
      </c>
      <c r="AG37">
        <v>2.8</v>
      </c>
      <c r="AH37">
        <v>1.92</v>
      </c>
      <c r="AI37">
        <v>3.87</v>
      </c>
      <c r="AJ37">
        <v>1.75</v>
      </c>
      <c r="AK37">
        <v>1.35</v>
      </c>
    </row>
    <row r="38" spans="1:60" x14ac:dyDescent="0.25">
      <c r="A38" t="s">
        <v>1</v>
      </c>
      <c r="B38">
        <v>4.3099999999999996</v>
      </c>
      <c r="C38">
        <v>2.67</v>
      </c>
      <c r="E38">
        <v>6.2</v>
      </c>
      <c r="F38">
        <v>6.16</v>
      </c>
      <c r="G38">
        <v>5.05</v>
      </c>
      <c r="H38">
        <v>3.4</v>
      </c>
      <c r="J38">
        <v>8.3699999999999992</v>
      </c>
      <c r="K38">
        <v>5.93</v>
      </c>
      <c r="N38">
        <v>1.24</v>
      </c>
      <c r="O38">
        <v>3.96</v>
      </c>
      <c r="Q38">
        <v>2.95</v>
      </c>
      <c r="R38">
        <v>1.1000000000000001</v>
      </c>
      <c r="S38">
        <v>3.86</v>
      </c>
      <c r="T38">
        <v>4.72</v>
      </c>
      <c r="Z38">
        <v>1.84</v>
      </c>
      <c r="AA38">
        <v>2.06</v>
      </c>
      <c r="AB38">
        <v>3.47</v>
      </c>
      <c r="AC38">
        <v>5.15</v>
      </c>
      <c r="AD38">
        <v>2.88</v>
      </c>
      <c r="AE38">
        <v>1.81</v>
      </c>
      <c r="AG38">
        <v>1.7</v>
      </c>
      <c r="AH38">
        <v>1.39</v>
      </c>
      <c r="AI38">
        <v>2.93</v>
      </c>
    </row>
    <row r="39" spans="1:60" x14ac:dyDescent="0.25">
      <c r="A39" t="s">
        <v>2</v>
      </c>
      <c r="B39">
        <v>4.07</v>
      </c>
      <c r="C39">
        <v>3.23</v>
      </c>
      <c r="D39">
        <v>7.52</v>
      </c>
      <c r="E39">
        <v>7.06</v>
      </c>
      <c r="G39">
        <v>5.41</v>
      </c>
      <c r="I39">
        <v>4.7699999999999996</v>
      </c>
      <c r="J39">
        <v>7.24</v>
      </c>
      <c r="O39">
        <v>1.35</v>
      </c>
      <c r="P39">
        <v>6.1</v>
      </c>
      <c r="Q39">
        <v>5.04</v>
      </c>
      <c r="R39">
        <v>2.6</v>
      </c>
      <c r="S39">
        <v>1.83</v>
      </c>
      <c r="T39">
        <v>3.98</v>
      </c>
      <c r="U39">
        <v>2.63</v>
      </c>
      <c r="X39">
        <v>2.85</v>
      </c>
      <c r="Y39">
        <v>3.58</v>
      </c>
      <c r="Z39">
        <v>4.93</v>
      </c>
      <c r="AB39">
        <v>5.35</v>
      </c>
      <c r="AD39">
        <v>1.88</v>
      </c>
      <c r="AF39">
        <v>3.26</v>
      </c>
      <c r="AJ39">
        <v>1.87</v>
      </c>
      <c r="AK39">
        <v>2.09</v>
      </c>
    </row>
    <row r="40" spans="1:60" x14ac:dyDescent="0.25">
      <c r="A40" t="s">
        <v>3</v>
      </c>
      <c r="B40">
        <v>4.4000000000000004</v>
      </c>
      <c r="C40">
        <v>2.2599999999999998</v>
      </c>
      <c r="H40">
        <v>5.4</v>
      </c>
      <c r="I40">
        <v>5.56</v>
      </c>
      <c r="K40">
        <v>3.78</v>
      </c>
      <c r="L40">
        <v>5.19</v>
      </c>
      <c r="M40">
        <v>6.18</v>
      </c>
      <c r="U40">
        <v>2.88</v>
      </c>
      <c r="X40">
        <v>1.82</v>
      </c>
      <c r="Y40">
        <v>1.29</v>
      </c>
      <c r="Z40">
        <v>3.72</v>
      </c>
      <c r="AB40">
        <v>2.23</v>
      </c>
      <c r="AC40">
        <v>6</v>
      </c>
      <c r="AG40">
        <v>2.68</v>
      </c>
      <c r="AI40">
        <v>6.06</v>
      </c>
      <c r="AJ40">
        <v>3.18</v>
      </c>
      <c r="AK40">
        <v>0.77</v>
      </c>
    </row>
    <row r="41" spans="1:60" x14ac:dyDescent="0.25">
      <c r="A41" t="s">
        <v>4</v>
      </c>
      <c r="D41">
        <v>4.0599999999999996</v>
      </c>
      <c r="F41">
        <v>9.2100000000000009</v>
      </c>
      <c r="G41">
        <v>5.19</v>
      </c>
      <c r="H41">
        <v>2.02</v>
      </c>
      <c r="J41">
        <v>2.73</v>
      </c>
      <c r="L41">
        <v>1.64</v>
      </c>
      <c r="M41">
        <v>5.2</v>
      </c>
      <c r="N41">
        <v>1.8</v>
      </c>
      <c r="P41">
        <v>3.35</v>
      </c>
      <c r="Q41">
        <v>3.39</v>
      </c>
      <c r="R41">
        <v>2.5499999999999998</v>
      </c>
      <c r="U41">
        <v>4.33</v>
      </c>
      <c r="AA41">
        <v>3.82</v>
      </c>
      <c r="AC41">
        <v>3.64</v>
      </c>
      <c r="AD41">
        <v>3.85</v>
      </c>
      <c r="AE41">
        <v>2.12</v>
      </c>
      <c r="AF41">
        <v>1.54</v>
      </c>
      <c r="AH41">
        <v>1.61</v>
      </c>
    </row>
    <row r="42" spans="1:60" x14ac:dyDescent="0.25">
      <c r="A42" s="1">
        <v>45561</v>
      </c>
      <c r="B42" s="4">
        <f>AVERAGE(B45:B49)</f>
        <v>6.3066666666666675</v>
      </c>
      <c r="C42" s="4">
        <f t="shared" ref="C42:AK42" si="5">AVERAGE(C45:C49)</f>
        <v>4.8433333333333328</v>
      </c>
      <c r="D42" s="4">
        <f t="shared" si="5"/>
        <v>4.22</v>
      </c>
      <c r="E42" s="4">
        <f t="shared" si="5"/>
        <v>4.87</v>
      </c>
      <c r="F42" s="4">
        <f>AVERAGE(F45:F49)</f>
        <v>6.7433333333333332</v>
      </c>
      <c r="G42" s="4">
        <f t="shared" si="5"/>
        <v>7.2399999999999993</v>
      </c>
      <c r="H42" s="4">
        <f t="shared" si="5"/>
        <v>4.22</v>
      </c>
      <c r="I42" s="4">
        <f t="shared" si="5"/>
        <v>4.46</v>
      </c>
      <c r="J42" s="4">
        <f t="shared" si="5"/>
        <v>4.49</v>
      </c>
      <c r="K42" s="4">
        <f t="shared" si="5"/>
        <v>5.4533333333333331</v>
      </c>
      <c r="L42" s="4">
        <f t="shared" si="5"/>
        <v>3.7433333333333336</v>
      </c>
      <c r="M42" s="4">
        <f t="shared" si="5"/>
        <v>5.55</v>
      </c>
      <c r="N42" s="4">
        <f t="shared" si="5"/>
        <v>2.4633333333333334</v>
      </c>
      <c r="O42" s="4">
        <f t="shared" si="5"/>
        <v>3.1533333333333338</v>
      </c>
      <c r="P42" s="4">
        <f t="shared" si="5"/>
        <v>4.416666666666667</v>
      </c>
      <c r="Q42" s="4">
        <f t="shared" si="5"/>
        <v>4.43</v>
      </c>
      <c r="R42" s="4">
        <f t="shared" si="5"/>
        <v>3.8466666666666662</v>
      </c>
      <c r="S42" s="4">
        <f t="shared" si="5"/>
        <v>4.2766666666666664</v>
      </c>
      <c r="T42" s="4">
        <f t="shared" si="5"/>
        <v>7.4566666666666661</v>
      </c>
      <c r="U42" s="4">
        <f t="shared" si="5"/>
        <v>4.916666666666667</v>
      </c>
      <c r="V42" s="4"/>
      <c r="W42" s="4"/>
      <c r="X42" s="4">
        <f t="shared" si="5"/>
        <v>5.13</v>
      </c>
      <c r="Y42" s="4">
        <f t="shared" si="5"/>
        <v>3.6766666666666672</v>
      </c>
      <c r="Z42" s="4">
        <f t="shared" si="5"/>
        <v>4.95</v>
      </c>
      <c r="AA42" s="4">
        <f t="shared" si="5"/>
        <v>2.86</v>
      </c>
      <c r="AB42" s="4">
        <f t="shared" si="5"/>
        <v>2.2866666666666666</v>
      </c>
      <c r="AC42" s="4">
        <f t="shared" si="5"/>
        <v>2.0533333333333332</v>
      </c>
      <c r="AD42" s="4">
        <f t="shared" si="5"/>
        <v>3.8866666666666667</v>
      </c>
      <c r="AE42" s="4">
        <f t="shared" si="5"/>
        <v>2.7766666666666668</v>
      </c>
      <c r="AF42" s="4">
        <f t="shared" si="5"/>
        <v>3.74</v>
      </c>
      <c r="AG42" s="4">
        <f t="shared" si="5"/>
        <v>5.0599999999999996</v>
      </c>
      <c r="AH42" s="4">
        <f t="shared" si="5"/>
        <v>2.94</v>
      </c>
      <c r="AI42" s="4">
        <f t="shared" si="5"/>
        <v>4.2666666666666666</v>
      </c>
      <c r="AJ42" s="4">
        <f t="shared" si="5"/>
        <v>3.3433333333333333</v>
      </c>
      <c r="AK42" s="4">
        <f t="shared" si="5"/>
        <v>2.5433333333333334</v>
      </c>
      <c r="AM42" s="5" t="s">
        <v>39</v>
      </c>
      <c r="AN42">
        <f>B42/C42</f>
        <v>1.3021335168616659</v>
      </c>
      <c r="AO42">
        <f>D42/E42</f>
        <v>0.86652977412731003</v>
      </c>
      <c r="AP42">
        <f>F42/G42</f>
        <v>0.93139963167587481</v>
      </c>
      <c r="AQ42">
        <f>H42/I42</f>
        <v>0.94618834080717484</v>
      </c>
      <c r="AR42">
        <f>J42/K42</f>
        <v>0.82334963325183386</v>
      </c>
      <c r="AS42">
        <f>L42/M42</f>
        <v>0.67447447447447451</v>
      </c>
      <c r="AT42">
        <f>O42/P42</f>
        <v>0.71396226415094344</v>
      </c>
      <c r="AU42">
        <f>P42/Q42</f>
        <v>0.99699021820917999</v>
      </c>
      <c r="AV42">
        <f>R42/S42</f>
        <v>0.89945440374123142</v>
      </c>
      <c r="AW42">
        <f>T42/U42</f>
        <v>1.5166101694915253</v>
      </c>
      <c r="AY42">
        <f>X42/Y42</f>
        <v>1.3952855847688121</v>
      </c>
      <c r="AZ42">
        <f>Z42/AA42</f>
        <v>1.7307692307692308</v>
      </c>
      <c r="BA42">
        <f>AB42/AC42</f>
        <v>1.1136363636363638</v>
      </c>
      <c r="BB42">
        <f>AD42/AE42</f>
        <v>1.3997599039615847</v>
      </c>
      <c r="BC42">
        <f>AF42/AG42</f>
        <v>0.73913043478260876</v>
      </c>
      <c r="BD42">
        <f>AH42/AI42</f>
        <v>0.68906250000000002</v>
      </c>
      <c r="BE42">
        <f>AJ42/AK42</f>
        <v>1.3145478374836173</v>
      </c>
      <c r="BF42">
        <v>6</v>
      </c>
      <c r="BG42">
        <f>AVERAGE(AN42:BE42)</f>
        <v>1.0619578989525547</v>
      </c>
      <c r="BH42">
        <f>STDEV(AN42:BE42)/(COUNT(AN42:BE42)^0.5)</f>
        <v>7.8452559277045378E-2</v>
      </c>
    </row>
    <row r="43" spans="1:60" x14ac:dyDescent="0.25">
      <c r="B43" t="s">
        <v>7</v>
      </c>
      <c r="C43" t="s">
        <v>7</v>
      </c>
      <c r="D43" t="s">
        <v>8</v>
      </c>
      <c r="E43" t="s">
        <v>8</v>
      </c>
      <c r="F43" t="s">
        <v>9</v>
      </c>
      <c r="G43" t="s">
        <v>9</v>
      </c>
      <c r="H43" t="s">
        <v>10</v>
      </c>
      <c r="I43" t="s">
        <v>10</v>
      </c>
      <c r="J43" t="s">
        <v>11</v>
      </c>
      <c r="K43" t="s">
        <v>11</v>
      </c>
      <c r="L43" t="s">
        <v>12</v>
      </c>
      <c r="M43" t="s">
        <v>12</v>
      </c>
      <c r="N43" t="s">
        <v>13</v>
      </c>
      <c r="O43" t="s">
        <v>13</v>
      </c>
      <c r="P43" t="s">
        <v>14</v>
      </c>
      <c r="Q43" t="s">
        <v>14</v>
      </c>
      <c r="R43" t="s">
        <v>15</v>
      </c>
      <c r="S43" t="s">
        <v>15</v>
      </c>
      <c r="T43" t="s">
        <v>16</v>
      </c>
      <c r="U43" t="s">
        <v>16</v>
      </c>
      <c r="V43" t="s">
        <v>17</v>
      </c>
      <c r="W43" t="s">
        <v>17</v>
      </c>
      <c r="X43" t="s">
        <v>18</v>
      </c>
      <c r="Y43" t="s">
        <v>18</v>
      </c>
      <c r="Z43" t="s">
        <v>19</v>
      </c>
      <c r="AA43" t="s">
        <v>19</v>
      </c>
      <c r="AB43" t="s">
        <v>20</v>
      </c>
      <c r="AC43" t="s">
        <v>20</v>
      </c>
      <c r="AD43" t="s">
        <v>21</v>
      </c>
      <c r="AE43" t="s">
        <v>21</v>
      </c>
      <c r="AF43" t="s">
        <v>22</v>
      </c>
      <c r="AG43" t="s">
        <v>22</v>
      </c>
      <c r="AH43" t="s">
        <v>23</v>
      </c>
      <c r="AI43" t="s">
        <v>23</v>
      </c>
      <c r="AJ43" t="s">
        <v>24</v>
      </c>
      <c r="AK43" t="s">
        <v>24</v>
      </c>
    </row>
    <row r="44" spans="1:60" x14ac:dyDescent="0.25">
      <c r="B44" t="s">
        <v>5</v>
      </c>
      <c r="C44" t="s">
        <v>6</v>
      </c>
      <c r="D44" t="s">
        <v>5</v>
      </c>
      <c r="E44" t="s">
        <v>6</v>
      </c>
      <c r="F44" t="s">
        <v>5</v>
      </c>
      <c r="G44" t="s">
        <v>6</v>
      </c>
      <c r="H44" t="s">
        <v>5</v>
      </c>
      <c r="I44" t="s">
        <v>6</v>
      </c>
      <c r="J44" t="s">
        <v>5</v>
      </c>
      <c r="K44" t="s">
        <v>6</v>
      </c>
      <c r="L44" t="s">
        <v>5</v>
      </c>
      <c r="M44" t="s">
        <v>6</v>
      </c>
      <c r="N44" t="s">
        <v>5</v>
      </c>
      <c r="O44" t="s">
        <v>6</v>
      </c>
      <c r="P44" t="s">
        <v>5</v>
      </c>
      <c r="Q44" t="s">
        <v>6</v>
      </c>
      <c r="R44" t="s">
        <v>5</v>
      </c>
      <c r="S44" t="s">
        <v>6</v>
      </c>
      <c r="T44" t="s">
        <v>5</v>
      </c>
      <c r="U44" t="s">
        <v>6</v>
      </c>
      <c r="V44" t="s">
        <v>5</v>
      </c>
      <c r="W44" t="s">
        <v>6</v>
      </c>
      <c r="X44" t="s">
        <v>5</v>
      </c>
      <c r="Y44" t="s">
        <v>6</v>
      </c>
      <c r="Z44" t="s">
        <v>5</v>
      </c>
      <c r="AA44" t="s">
        <v>6</v>
      </c>
      <c r="AB44" t="s">
        <v>5</v>
      </c>
      <c r="AC44" t="s">
        <v>6</v>
      </c>
      <c r="AD44" t="s">
        <v>5</v>
      </c>
      <c r="AE44" t="s">
        <v>6</v>
      </c>
      <c r="AF44" t="s">
        <v>5</v>
      </c>
      <c r="AG44" t="s">
        <v>6</v>
      </c>
      <c r="AH44" t="s">
        <v>5</v>
      </c>
      <c r="AI44" t="s">
        <v>6</v>
      </c>
      <c r="AJ44" t="s">
        <v>5</v>
      </c>
      <c r="AK44" t="s">
        <v>6</v>
      </c>
    </row>
    <row r="45" spans="1:60" x14ac:dyDescent="0.25">
      <c r="A45" t="s">
        <v>0</v>
      </c>
      <c r="C45">
        <v>5.51</v>
      </c>
      <c r="D45">
        <v>2.5099999999999998</v>
      </c>
      <c r="F45">
        <v>5.66</v>
      </c>
      <c r="G45">
        <v>4.2699999999999996</v>
      </c>
      <c r="H45">
        <v>4.88</v>
      </c>
      <c r="I45">
        <v>4.1900000000000004</v>
      </c>
      <c r="J45">
        <v>3.85</v>
      </c>
      <c r="L45">
        <v>4.53</v>
      </c>
      <c r="N45">
        <v>2.81</v>
      </c>
      <c r="P45">
        <v>8.14</v>
      </c>
      <c r="R45">
        <v>3.14</v>
      </c>
      <c r="T45">
        <v>6.29</v>
      </c>
      <c r="U45">
        <v>4.21</v>
      </c>
      <c r="X45">
        <v>4.62</v>
      </c>
      <c r="Y45">
        <v>4.37</v>
      </c>
      <c r="Z45">
        <v>2</v>
      </c>
      <c r="AD45">
        <v>4.5199999999999996</v>
      </c>
      <c r="AF45">
        <v>2.66</v>
      </c>
      <c r="AG45">
        <v>4.76</v>
      </c>
      <c r="AH45">
        <v>1.78</v>
      </c>
      <c r="AJ45">
        <v>2.78</v>
      </c>
      <c r="AK45">
        <v>2.81</v>
      </c>
    </row>
    <row r="46" spans="1:60" x14ac:dyDescent="0.25">
      <c r="A46" t="s">
        <v>1</v>
      </c>
      <c r="D46">
        <v>6.2</v>
      </c>
      <c r="I46">
        <v>2.57</v>
      </c>
      <c r="J46">
        <v>5.7</v>
      </c>
      <c r="K46">
        <v>5.81</v>
      </c>
      <c r="L46">
        <v>4</v>
      </c>
      <c r="M46">
        <v>5.57</v>
      </c>
      <c r="N46">
        <v>0.93</v>
      </c>
      <c r="O46">
        <v>4.41</v>
      </c>
      <c r="Q46">
        <v>4.38</v>
      </c>
      <c r="S46">
        <v>5.35</v>
      </c>
      <c r="T46">
        <v>7.63</v>
      </c>
      <c r="U46">
        <v>5.0599999999999996</v>
      </c>
      <c r="X46">
        <v>4.7300000000000004</v>
      </c>
      <c r="Y46">
        <v>4.07</v>
      </c>
      <c r="Z46">
        <v>5.32</v>
      </c>
      <c r="AA46">
        <v>2.0099999999999998</v>
      </c>
      <c r="AB46">
        <v>2.56</v>
      </c>
      <c r="AD46">
        <v>2.7</v>
      </c>
      <c r="AE46">
        <v>1.57</v>
      </c>
      <c r="AI46">
        <v>6.47</v>
      </c>
      <c r="AJ46">
        <v>3.5</v>
      </c>
      <c r="AK46">
        <v>1.97</v>
      </c>
    </row>
    <row r="47" spans="1:60" x14ac:dyDescent="0.25">
      <c r="A47" t="s">
        <v>2</v>
      </c>
      <c r="B47">
        <v>5.95</v>
      </c>
      <c r="C47">
        <v>5.84</v>
      </c>
      <c r="D47">
        <v>3.95</v>
      </c>
      <c r="E47">
        <v>4.5599999999999996</v>
      </c>
      <c r="G47">
        <v>7.9</v>
      </c>
      <c r="H47">
        <v>3.57</v>
      </c>
      <c r="M47">
        <v>5.88</v>
      </c>
      <c r="O47">
        <v>2.72</v>
      </c>
      <c r="P47">
        <v>2.17</v>
      </c>
      <c r="Q47">
        <v>4.2</v>
      </c>
      <c r="R47">
        <v>6.04</v>
      </c>
      <c r="S47">
        <v>2.1800000000000002</v>
      </c>
      <c r="T47">
        <v>8.4499999999999993</v>
      </c>
      <c r="AB47">
        <v>2.76</v>
      </c>
      <c r="AC47">
        <v>1.65</v>
      </c>
      <c r="AD47">
        <v>4.4400000000000004</v>
      </c>
      <c r="AE47">
        <v>1.95</v>
      </c>
      <c r="AF47">
        <v>6</v>
      </c>
      <c r="AG47">
        <v>4.41</v>
      </c>
      <c r="AJ47">
        <v>3.75</v>
      </c>
    </row>
    <row r="48" spans="1:60" x14ac:dyDescent="0.25">
      <c r="A48" t="s">
        <v>3</v>
      </c>
      <c r="B48">
        <v>6.83</v>
      </c>
      <c r="C48">
        <v>3.18</v>
      </c>
      <c r="E48">
        <v>7.38</v>
      </c>
      <c r="F48">
        <v>8.76</v>
      </c>
      <c r="K48">
        <v>5.43</v>
      </c>
      <c r="O48">
        <v>2.33</v>
      </c>
      <c r="Q48">
        <v>4.71</v>
      </c>
      <c r="R48">
        <v>2.36</v>
      </c>
      <c r="U48">
        <v>5.48</v>
      </c>
      <c r="X48">
        <v>6.04</v>
      </c>
      <c r="Y48">
        <v>2.59</v>
      </c>
      <c r="AA48">
        <v>3.65</v>
      </c>
      <c r="AB48">
        <v>1.54</v>
      </c>
      <c r="AC48">
        <v>0.86</v>
      </c>
      <c r="AF48">
        <v>2.56</v>
      </c>
      <c r="AG48">
        <v>6.01</v>
      </c>
      <c r="AH48">
        <v>4.33</v>
      </c>
      <c r="AI48">
        <v>4.75</v>
      </c>
      <c r="AK48">
        <v>2.85</v>
      </c>
    </row>
    <row r="49" spans="1:60" x14ac:dyDescent="0.25">
      <c r="A49" t="s">
        <v>4</v>
      </c>
      <c r="B49">
        <v>6.14</v>
      </c>
      <c r="E49">
        <v>2.67</v>
      </c>
      <c r="F49">
        <v>5.81</v>
      </c>
      <c r="G49">
        <v>9.5500000000000007</v>
      </c>
      <c r="H49">
        <v>4.21</v>
      </c>
      <c r="I49">
        <v>6.62</v>
      </c>
      <c r="J49">
        <v>3.92</v>
      </c>
      <c r="K49">
        <v>5.12</v>
      </c>
      <c r="L49">
        <v>2.7</v>
      </c>
      <c r="M49">
        <v>5.2</v>
      </c>
      <c r="N49">
        <v>3.65</v>
      </c>
      <c r="P49">
        <v>2.94</v>
      </c>
      <c r="S49">
        <v>5.3</v>
      </c>
      <c r="Z49">
        <v>7.53</v>
      </c>
      <c r="AA49">
        <v>2.92</v>
      </c>
      <c r="AC49">
        <v>3.65</v>
      </c>
      <c r="AE49">
        <v>4.8099999999999996</v>
      </c>
      <c r="AH49">
        <v>2.71</v>
      </c>
      <c r="AI49">
        <v>1.58</v>
      </c>
    </row>
    <row r="50" spans="1:60" x14ac:dyDescent="0.25">
      <c r="A50" s="1">
        <v>45568</v>
      </c>
      <c r="B50" s="4">
        <f>AVERAGE(B53:B57)</f>
        <v>6.3966666666666674</v>
      </c>
      <c r="C50" s="4">
        <f t="shared" ref="C50:AK50" si="6">AVERAGE(C53:C57)</f>
        <v>6.09</v>
      </c>
      <c r="D50" s="4">
        <f t="shared" si="6"/>
        <v>4.0900000000000007</v>
      </c>
      <c r="E50" s="4">
        <f t="shared" si="6"/>
        <v>5.0533333333333337</v>
      </c>
      <c r="F50" s="4">
        <f>AVERAGE(F53:F57)</f>
        <v>5.96</v>
      </c>
      <c r="G50" s="4">
        <f t="shared" si="6"/>
        <v>4.083333333333333</v>
      </c>
      <c r="H50" s="4">
        <f t="shared" si="6"/>
        <v>7.333333333333333</v>
      </c>
      <c r="I50" s="4">
        <f t="shared" si="6"/>
        <v>8.0566666666666666</v>
      </c>
      <c r="J50" s="4">
        <f t="shared" si="6"/>
        <v>3.94</v>
      </c>
      <c r="K50" s="4">
        <f t="shared" si="6"/>
        <v>6.7166666666666659</v>
      </c>
      <c r="L50" s="4">
        <f t="shared" si="6"/>
        <v>2.35</v>
      </c>
      <c r="M50" s="4">
        <f t="shared" si="6"/>
        <v>2.57</v>
      </c>
      <c r="N50" s="4">
        <f t="shared" si="6"/>
        <v>4.3866666666666667</v>
      </c>
      <c r="O50" s="4">
        <f t="shared" si="6"/>
        <v>2.2000000000000002</v>
      </c>
      <c r="P50" s="4">
        <f t="shared" si="6"/>
        <v>5.876666666666666</v>
      </c>
      <c r="Q50" s="4">
        <f t="shared" si="6"/>
        <v>5.5799999999999992</v>
      </c>
      <c r="R50" s="4">
        <f t="shared" si="6"/>
        <v>4.0066666666666668</v>
      </c>
      <c r="S50" s="4">
        <f t="shared" si="6"/>
        <v>2.9200000000000004</v>
      </c>
      <c r="T50" s="4">
        <f t="shared" si="6"/>
        <v>8.8533333333333335</v>
      </c>
      <c r="U50" s="4">
        <f t="shared" si="6"/>
        <v>7.28</v>
      </c>
      <c r="V50" s="4"/>
      <c r="W50" s="4"/>
      <c r="X50" s="4">
        <f t="shared" si="6"/>
        <v>2.3200000000000003</v>
      </c>
      <c r="Y50" s="4">
        <f t="shared" si="6"/>
        <v>3.1799999999999997</v>
      </c>
      <c r="Z50" s="4">
        <f t="shared" si="6"/>
        <v>3.3433333333333337</v>
      </c>
      <c r="AA50" s="4">
        <f t="shared" si="6"/>
        <v>4.4866666666666672</v>
      </c>
      <c r="AB50" s="4">
        <f t="shared" si="6"/>
        <v>3.8533333333333335</v>
      </c>
      <c r="AC50" s="4">
        <f t="shared" si="6"/>
        <v>4.6000000000000005</v>
      </c>
      <c r="AD50" s="4">
        <f t="shared" si="6"/>
        <v>4.4533333333333331</v>
      </c>
      <c r="AE50" s="4">
        <f t="shared" si="6"/>
        <v>5.0933333333333328</v>
      </c>
      <c r="AF50" s="4">
        <f t="shared" si="6"/>
        <v>4.9066666666666672</v>
      </c>
      <c r="AG50" s="4">
        <f t="shared" si="6"/>
        <v>3.6233333333333331</v>
      </c>
      <c r="AH50" s="4">
        <f t="shared" si="6"/>
        <v>3.6133333333333333</v>
      </c>
      <c r="AI50" s="4">
        <f t="shared" si="6"/>
        <v>4.123333333333334</v>
      </c>
      <c r="AJ50" s="4">
        <f t="shared" si="6"/>
        <v>3.7433333333333336</v>
      </c>
      <c r="AK50" s="4">
        <f t="shared" si="6"/>
        <v>2.9899999999999998</v>
      </c>
      <c r="AM50" s="5" t="s">
        <v>40</v>
      </c>
      <c r="AN50">
        <f>B50/C50</f>
        <v>1.0503557744937058</v>
      </c>
      <c r="AO50">
        <f>D50/E50</f>
        <v>0.80936675461741436</v>
      </c>
      <c r="AP50">
        <f>F50/G50</f>
        <v>1.4595918367346941</v>
      </c>
      <c r="AQ50">
        <f>H50/I50</f>
        <v>0.91021928009929665</v>
      </c>
      <c r="AR50">
        <f>J50/K50</f>
        <v>0.58660049627791566</v>
      </c>
      <c r="AS50">
        <f>L50/M50</f>
        <v>0.91439688715953316</v>
      </c>
      <c r="AT50">
        <f>O50/P50</f>
        <v>0.37436188315371532</v>
      </c>
      <c r="AU50">
        <f>P50/Q50</f>
        <v>1.0531660692951017</v>
      </c>
      <c r="AV50">
        <f>R50/S50</f>
        <v>1.372146118721461</v>
      </c>
      <c r="AW50">
        <f>T50/U50</f>
        <v>1.216117216117216</v>
      </c>
      <c r="AY50">
        <f>X50/Y50</f>
        <v>0.72955974842767313</v>
      </c>
      <c r="AZ50">
        <f>Z50/AA50</f>
        <v>0.74517087667161963</v>
      </c>
      <c r="BA50">
        <f>AB50/AC50</f>
        <v>0.83768115942028976</v>
      </c>
      <c r="BB50">
        <f>AD50/AE50</f>
        <v>0.87434554973821998</v>
      </c>
      <c r="BC50">
        <f>AF50/AG50</f>
        <v>1.3541858325666976</v>
      </c>
      <c r="BD50">
        <f>AH50/AI50</f>
        <v>0.87631366208569106</v>
      </c>
      <c r="BE50">
        <f>AJ50/AK50</f>
        <v>1.2519509476031216</v>
      </c>
      <c r="BF50">
        <v>7</v>
      </c>
      <c r="BG50">
        <f>AVERAGE(AN50:BE50)</f>
        <v>0.96561941724608047</v>
      </c>
      <c r="BH50">
        <f>STDEV(AN50:BE50)/(COUNT(AN50:BE50)^0.5)</f>
        <v>7.1233386110309799E-2</v>
      </c>
    </row>
    <row r="51" spans="1:60" x14ac:dyDescent="0.25">
      <c r="B51" t="s">
        <v>7</v>
      </c>
      <c r="C51" t="s">
        <v>7</v>
      </c>
      <c r="D51" t="s">
        <v>8</v>
      </c>
      <c r="E51" t="s">
        <v>8</v>
      </c>
      <c r="F51" t="s">
        <v>9</v>
      </c>
      <c r="G51" t="s">
        <v>9</v>
      </c>
      <c r="H51" t="s">
        <v>10</v>
      </c>
      <c r="I51" t="s">
        <v>10</v>
      </c>
      <c r="J51" t="s">
        <v>11</v>
      </c>
      <c r="K51" t="s">
        <v>11</v>
      </c>
      <c r="L51" t="s">
        <v>12</v>
      </c>
      <c r="M51" t="s">
        <v>12</v>
      </c>
      <c r="N51" t="s">
        <v>13</v>
      </c>
      <c r="O51" t="s">
        <v>13</v>
      </c>
      <c r="P51" t="s">
        <v>14</v>
      </c>
      <c r="Q51" t="s">
        <v>14</v>
      </c>
      <c r="R51" t="s">
        <v>15</v>
      </c>
      <c r="S51" t="s">
        <v>15</v>
      </c>
      <c r="T51" t="s">
        <v>16</v>
      </c>
      <c r="U51" t="s">
        <v>16</v>
      </c>
      <c r="V51" t="s">
        <v>17</v>
      </c>
      <c r="W51" t="s">
        <v>17</v>
      </c>
      <c r="X51" t="s">
        <v>18</v>
      </c>
      <c r="Y51" t="s">
        <v>18</v>
      </c>
      <c r="Z51" t="s">
        <v>19</v>
      </c>
      <c r="AA51" t="s">
        <v>19</v>
      </c>
      <c r="AB51" t="s">
        <v>20</v>
      </c>
      <c r="AC51" t="s">
        <v>20</v>
      </c>
      <c r="AD51" t="s">
        <v>21</v>
      </c>
      <c r="AE51" t="s">
        <v>21</v>
      </c>
      <c r="AF51" t="s">
        <v>22</v>
      </c>
      <c r="AG51" t="s">
        <v>22</v>
      </c>
      <c r="AH51" t="s">
        <v>23</v>
      </c>
      <c r="AI51" t="s">
        <v>23</v>
      </c>
      <c r="AJ51" t="s">
        <v>24</v>
      </c>
      <c r="AK51" t="s">
        <v>24</v>
      </c>
    </row>
    <row r="52" spans="1:60" x14ac:dyDescent="0.25">
      <c r="B52" t="s">
        <v>5</v>
      </c>
      <c r="C52" t="s">
        <v>6</v>
      </c>
      <c r="D52" t="s">
        <v>5</v>
      </c>
      <c r="E52" t="s">
        <v>6</v>
      </c>
      <c r="F52" t="s">
        <v>5</v>
      </c>
      <c r="G52" t="s">
        <v>6</v>
      </c>
      <c r="H52" t="s">
        <v>5</v>
      </c>
      <c r="I52" t="s">
        <v>6</v>
      </c>
      <c r="J52" t="s">
        <v>5</v>
      </c>
      <c r="K52" t="s">
        <v>6</v>
      </c>
      <c r="L52" t="s">
        <v>5</v>
      </c>
      <c r="M52" t="s">
        <v>6</v>
      </c>
      <c r="N52" t="s">
        <v>5</v>
      </c>
      <c r="O52" t="s">
        <v>6</v>
      </c>
      <c r="P52" t="s">
        <v>5</v>
      </c>
      <c r="Q52" t="s">
        <v>6</v>
      </c>
      <c r="R52" t="s">
        <v>5</v>
      </c>
      <c r="S52" t="s">
        <v>6</v>
      </c>
      <c r="T52" t="s">
        <v>5</v>
      </c>
      <c r="U52" t="s">
        <v>6</v>
      </c>
      <c r="V52" t="s">
        <v>5</v>
      </c>
      <c r="W52" t="s">
        <v>6</v>
      </c>
      <c r="X52" t="s">
        <v>5</v>
      </c>
      <c r="Y52" t="s">
        <v>6</v>
      </c>
      <c r="Z52" t="s">
        <v>5</v>
      </c>
      <c r="AA52" t="s">
        <v>6</v>
      </c>
      <c r="AB52" t="s">
        <v>5</v>
      </c>
      <c r="AC52" t="s">
        <v>6</v>
      </c>
      <c r="AD52" t="s">
        <v>5</v>
      </c>
      <c r="AE52" t="s">
        <v>6</v>
      </c>
      <c r="AF52" t="s">
        <v>5</v>
      </c>
      <c r="AG52" t="s">
        <v>6</v>
      </c>
      <c r="AH52" t="s">
        <v>5</v>
      </c>
      <c r="AI52" t="s">
        <v>6</v>
      </c>
      <c r="AJ52" t="s">
        <v>5</v>
      </c>
      <c r="AK52" t="s">
        <v>6</v>
      </c>
    </row>
    <row r="53" spans="1:60" x14ac:dyDescent="0.25">
      <c r="A53" t="s">
        <v>0</v>
      </c>
      <c r="B53">
        <v>7.33</v>
      </c>
      <c r="C53">
        <v>5.23</v>
      </c>
      <c r="E53">
        <v>4.7</v>
      </c>
      <c r="F53">
        <v>5.27</v>
      </c>
      <c r="G53">
        <v>4.1399999999999997</v>
      </c>
      <c r="J53">
        <v>4.82</v>
      </c>
      <c r="N53">
        <v>5.89</v>
      </c>
      <c r="P53">
        <v>5.7</v>
      </c>
      <c r="R53">
        <v>2.2799999999999998</v>
      </c>
      <c r="S53">
        <v>3.74</v>
      </c>
      <c r="T53">
        <v>5.04</v>
      </c>
      <c r="X53">
        <v>2.93</v>
      </c>
      <c r="Y53">
        <v>5.38</v>
      </c>
      <c r="Z53">
        <v>4.82</v>
      </c>
      <c r="AB53">
        <v>3.68</v>
      </c>
      <c r="AC53">
        <v>5.37</v>
      </c>
      <c r="AE53">
        <v>4.42</v>
      </c>
      <c r="AH53">
        <v>2.52</v>
      </c>
      <c r="AJ53">
        <v>2.5299999999999998</v>
      </c>
    </row>
    <row r="54" spans="1:60" x14ac:dyDescent="0.25">
      <c r="A54" t="s">
        <v>1</v>
      </c>
      <c r="B54">
        <v>7.06</v>
      </c>
      <c r="D54">
        <v>4.4800000000000004</v>
      </c>
      <c r="G54">
        <v>5.23</v>
      </c>
      <c r="H54">
        <v>5.45</v>
      </c>
      <c r="K54">
        <v>3.58</v>
      </c>
      <c r="L54">
        <v>1.68</v>
      </c>
      <c r="M54">
        <v>1.93</v>
      </c>
      <c r="O54">
        <v>2.65</v>
      </c>
      <c r="Q54">
        <v>3.36</v>
      </c>
      <c r="S54">
        <v>2.4</v>
      </c>
      <c r="U54">
        <v>5.04</v>
      </c>
      <c r="X54">
        <v>2.79</v>
      </c>
      <c r="Y54">
        <v>1.54</v>
      </c>
      <c r="Z54">
        <v>2.09</v>
      </c>
      <c r="AA54">
        <v>3.85</v>
      </c>
      <c r="AB54">
        <v>3.8</v>
      </c>
      <c r="AC54">
        <v>4.47</v>
      </c>
      <c r="AF54">
        <v>4.4800000000000004</v>
      </c>
      <c r="AG54">
        <v>1.77</v>
      </c>
      <c r="AH54">
        <v>3.86</v>
      </c>
      <c r="AI54">
        <v>3.23</v>
      </c>
    </row>
    <row r="55" spans="1:60" x14ac:dyDescent="0.25">
      <c r="A55" t="s">
        <v>2</v>
      </c>
      <c r="C55">
        <v>3.67</v>
      </c>
      <c r="H55">
        <v>9.32</v>
      </c>
      <c r="I55">
        <v>2.56</v>
      </c>
      <c r="J55">
        <v>2.8</v>
      </c>
      <c r="K55">
        <v>6.84</v>
      </c>
      <c r="M55">
        <v>2.96</v>
      </c>
      <c r="N55">
        <v>3.82</v>
      </c>
      <c r="Q55">
        <v>5.41</v>
      </c>
      <c r="R55">
        <v>5.74</v>
      </c>
      <c r="T55">
        <v>11.04</v>
      </c>
      <c r="U55">
        <v>10.37</v>
      </c>
      <c r="X55">
        <v>1.24</v>
      </c>
      <c r="AA55">
        <v>5.61</v>
      </c>
      <c r="AB55">
        <v>4.08</v>
      </c>
      <c r="AD55">
        <v>5.98</v>
      </c>
      <c r="AE55">
        <v>3.62</v>
      </c>
      <c r="AF55">
        <v>4.58</v>
      </c>
      <c r="AJ55">
        <v>4.71</v>
      </c>
      <c r="AK55">
        <v>2.12</v>
      </c>
    </row>
    <row r="56" spans="1:60" x14ac:dyDescent="0.25">
      <c r="A56" t="s">
        <v>3</v>
      </c>
      <c r="D56">
        <v>3.22</v>
      </c>
      <c r="E56">
        <v>4.67</v>
      </c>
      <c r="F56">
        <v>5.77</v>
      </c>
      <c r="G56">
        <v>2.88</v>
      </c>
      <c r="H56">
        <v>7.23</v>
      </c>
      <c r="I56">
        <v>12.1</v>
      </c>
      <c r="K56">
        <v>9.73</v>
      </c>
      <c r="L56">
        <v>2.92</v>
      </c>
      <c r="M56">
        <v>2.82</v>
      </c>
      <c r="O56">
        <v>1.83</v>
      </c>
      <c r="P56">
        <v>6.13</v>
      </c>
      <c r="Q56">
        <v>7.97</v>
      </c>
      <c r="S56">
        <v>2.62</v>
      </c>
      <c r="U56">
        <v>6.43</v>
      </c>
      <c r="Z56">
        <v>3.12</v>
      </c>
      <c r="AC56">
        <v>3.96</v>
      </c>
      <c r="AD56">
        <v>3.29</v>
      </c>
      <c r="AF56">
        <v>5.66</v>
      </c>
      <c r="AG56">
        <v>4.68</v>
      </c>
      <c r="AI56">
        <v>4.3499999999999996</v>
      </c>
      <c r="AK56">
        <v>5.0599999999999996</v>
      </c>
    </row>
    <row r="57" spans="1:60" x14ac:dyDescent="0.25">
      <c r="A57" t="s">
        <v>4</v>
      </c>
      <c r="B57">
        <v>4.8</v>
      </c>
      <c r="C57">
        <v>9.3699999999999992</v>
      </c>
      <c r="D57">
        <v>4.57</v>
      </c>
      <c r="E57">
        <v>5.79</v>
      </c>
      <c r="F57">
        <v>6.84</v>
      </c>
      <c r="I57">
        <v>9.51</v>
      </c>
      <c r="J57">
        <v>4.2</v>
      </c>
      <c r="L57">
        <v>2.4500000000000002</v>
      </c>
      <c r="N57">
        <v>3.45</v>
      </c>
      <c r="O57">
        <v>2.12</v>
      </c>
      <c r="P57">
        <v>5.8</v>
      </c>
      <c r="R57">
        <v>4</v>
      </c>
      <c r="T57">
        <v>10.48</v>
      </c>
      <c r="Y57">
        <v>2.62</v>
      </c>
      <c r="AA57">
        <v>4</v>
      </c>
      <c r="AD57">
        <v>4.09</v>
      </c>
      <c r="AE57">
        <v>7.24</v>
      </c>
      <c r="AG57">
        <v>4.42</v>
      </c>
      <c r="AH57">
        <v>4.46</v>
      </c>
      <c r="AI57">
        <v>4.79</v>
      </c>
      <c r="AJ57">
        <v>3.99</v>
      </c>
      <c r="AK57">
        <v>1.79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715C-EC02-4519-A73B-3ADE0088E0DA}">
  <sheetPr codeName="Sheet2"/>
  <dimension ref="A1:AK56"/>
  <sheetViews>
    <sheetView zoomScale="70" zoomScaleNormal="70" workbookViewId="0">
      <selection activeCell="Q18" sqref="Q18"/>
    </sheetView>
  </sheetViews>
  <sheetFormatPr defaultRowHeight="15" x14ac:dyDescent="0.25"/>
  <cols>
    <col min="1" max="1" width="11.140625" bestFit="1" customWidth="1"/>
    <col min="2" max="2" width="9.140625" customWidth="1"/>
  </cols>
  <sheetData>
    <row r="1" spans="1:37" x14ac:dyDescent="0.25">
      <c r="A1" s="1">
        <v>45496</v>
      </c>
    </row>
    <row r="2" spans="1:37" x14ac:dyDescent="0.25">
      <c r="B2" t="s">
        <v>7</v>
      </c>
      <c r="C2" t="s">
        <v>7</v>
      </c>
      <c r="D2" t="s">
        <v>8</v>
      </c>
      <c r="E2" t="s">
        <v>8</v>
      </c>
      <c r="F2" t="s">
        <v>9</v>
      </c>
      <c r="G2" t="s">
        <v>9</v>
      </c>
      <c r="H2" t="s">
        <v>10</v>
      </c>
      <c r="I2" t="s">
        <v>10</v>
      </c>
      <c r="J2" t="s">
        <v>11</v>
      </c>
      <c r="K2" t="s">
        <v>11</v>
      </c>
      <c r="L2" t="s">
        <v>12</v>
      </c>
      <c r="M2" t="s">
        <v>12</v>
      </c>
      <c r="N2" t="s">
        <v>13</v>
      </c>
      <c r="O2" t="s">
        <v>13</v>
      </c>
      <c r="P2" t="s">
        <v>14</v>
      </c>
      <c r="Q2" t="s">
        <v>14</v>
      </c>
      <c r="R2" t="s">
        <v>15</v>
      </c>
      <c r="S2" t="s">
        <v>15</v>
      </c>
      <c r="T2" t="s">
        <v>16</v>
      </c>
      <c r="U2" t="s">
        <v>16</v>
      </c>
      <c r="V2" t="s">
        <v>17</v>
      </c>
      <c r="W2" t="s">
        <v>17</v>
      </c>
      <c r="X2" t="s">
        <v>18</v>
      </c>
      <c r="Y2" t="s">
        <v>18</v>
      </c>
      <c r="Z2" t="s">
        <v>19</v>
      </c>
      <c r="AA2" t="s">
        <v>19</v>
      </c>
      <c r="AB2" t="s">
        <v>20</v>
      </c>
      <c r="AC2" t="s">
        <v>20</v>
      </c>
      <c r="AD2" t="s">
        <v>21</v>
      </c>
      <c r="AE2" t="s">
        <v>21</v>
      </c>
      <c r="AF2" t="s">
        <v>22</v>
      </c>
      <c r="AG2" t="s">
        <v>22</v>
      </c>
      <c r="AH2" t="s">
        <v>23</v>
      </c>
      <c r="AI2" t="s">
        <v>23</v>
      </c>
      <c r="AJ2" t="s">
        <v>24</v>
      </c>
      <c r="AK2" t="s">
        <v>24</v>
      </c>
    </row>
    <row r="3" spans="1:37" x14ac:dyDescent="0.25"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  <c r="H3" t="s">
        <v>5</v>
      </c>
      <c r="I3" t="s">
        <v>6</v>
      </c>
      <c r="J3" t="s">
        <v>5</v>
      </c>
      <c r="K3" t="s">
        <v>6</v>
      </c>
      <c r="L3" t="s">
        <v>5</v>
      </c>
      <c r="M3" t="s">
        <v>6</v>
      </c>
      <c r="N3" t="s">
        <v>5</v>
      </c>
      <c r="O3" t="s">
        <v>6</v>
      </c>
      <c r="P3" t="s">
        <v>5</v>
      </c>
      <c r="Q3" t="s">
        <v>6</v>
      </c>
      <c r="R3" t="s">
        <v>5</v>
      </c>
      <c r="S3" t="s">
        <v>6</v>
      </c>
      <c r="T3" t="s">
        <v>5</v>
      </c>
      <c r="U3" t="s">
        <v>6</v>
      </c>
      <c r="V3" t="s">
        <v>5</v>
      </c>
      <c r="W3" t="s">
        <v>6</v>
      </c>
      <c r="X3" t="s">
        <v>5</v>
      </c>
      <c r="Y3" t="s">
        <v>6</v>
      </c>
      <c r="Z3" t="s">
        <v>5</v>
      </c>
      <c r="AA3" t="s">
        <v>6</v>
      </c>
      <c r="AB3" t="s">
        <v>5</v>
      </c>
      <c r="AC3" t="s">
        <v>6</v>
      </c>
      <c r="AD3" t="s">
        <v>5</v>
      </c>
      <c r="AE3" t="s">
        <v>6</v>
      </c>
      <c r="AF3" t="s">
        <v>5</v>
      </c>
      <c r="AG3" t="s">
        <v>6</v>
      </c>
      <c r="AH3" t="s">
        <v>5</v>
      </c>
      <c r="AI3" t="s">
        <v>6</v>
      </c>
      <c r="AJ3" t="s">
        <v>5</v>
      </c>
      <c r="AK3" t="s">
        <v>6</v>
      </c>
    </row>
    <row r="4" spans="1:37" x14ac:dyDescent="0.25">
      <c r="A4" t="s">
        <v>0</v>
      </c>
      <c r="B4">
        <v>6.85</v>
      </c>
      <c r="C4">
        <v>9.52</v>
      </c>
      <c r="D4">
        <v>6.75</v>
      </c>
      <c r="E4">
        <v>12.11</v>
      </c>
      <c r="F4">
        <v>6.76</v>
      </c>
      <c r="G4">
        <v>6.5</v>
      </c>
      <c r="H4">
        <v>7.57</v>
      </c>
      <c r="I4">
        <v>5.24</v>
      </c>
      <c r="J4">
        <v>8.68</v>
      </c>
      <c r="K4">
        <v>6.56</v>
      </c>
      <c r="L4">
        <v>6.82</v>
      </c>
      <c r="M4">
        <v>5.47</v>
      </c>
      <c r="N4">
        <v>7.82</v>
      </c>
      <c r="O4">
        <v>8.09</v>
      </c>
      <c r="P4">
        <v>7.81</v>
      </c>
      <c r="Q4">
        <v>11</v>
      </c>
      <c r="R4">
        <v>6.06</v>
      </c>
      <c r="S4">
        <v>4.0199999999999996</v>
      </c>
      <c r="T4">
        <v>8.14</v>
      </c>
      <c r="U4">
        <v>4.8600000000000003</v>
      </c>
      <c r="V4">
        <v>4.66</v>
      </c>
      <c r="W4">
        <v>5.49</v>
      </c>
      <c r="X4">
        <v>10.59</v>
      </c>
      <c r="Y4">
        <v>8.26</v>
      </c>
      <c r="Z4">
        <v>4.45</v>
      </c>
      <c r="AA4">
        <v>8.58</v>
      </c>
      <c r="AB4">
        <v>4.76</v>
      </c>
      <c r="AC4">
        <v>3.15</v>
      </c>
      <c r="AD4">
        <v>6.85</v>
      </c>
      <c r="AE4">
        <v>4.13</v>
      </c>
      <c r="AF4">
        <v>3.43</v>
      </c>
      <c r="AG4">
        <v>7.38</v>
      </c>
      <c r="AH4">
        <v>4.45</v>
      </c>
      <c r="AI4">
        <v>3.91</v>
      </c>
      <c r="AJ4">
        <v>7.78</v>
      </c>
      <c r="AK4">
        <v>10.89</v>
      </c>
    </row>
    <row r="5" spans="1:37" x14ac:dyDescent="0.25">
      <c r="A5" t="s">
        <v>1</v>
      </c>
      <c r="B5">
        <v>6.12</v>
      </c>
      <c r="C5">
        <v>6.2</v>
      </c>
      <c r="D5">
        <v>7.53</v>
      </c>
      <c r="E5">
        <v>6.79</v>
      </c>
      <c r="F5">
        <v>7.45</v>
      </c>
      <c r="G5">
        <v>7.84</v>
      </c>
      <c r="H5">
        <v>5</v>
      </c>
      <c r="I5">
        <v>7.29</v>
      </c>
      <c r="J5">
        <v>6.93</v>
      </c>
      <c r="K5">
        <v>4.54</v>
      </c>
      <c r="L5">
        <v>5.41</v>
      </c>
      <c r="M5">
        <v>4.95</v>
      </c>
      <c r="N5">
        <v>5.51</v>
      </c>
      <c r="O5">
        <v>6.72</v>
      </c>
      <c r="P5">
        <v>5.42</v>
      </c>
      <c r="Q5">
        <v>4.1100000000000003</v>
      </c>
      <c r="R5">
        <v>11.72</v>
      </c>
      <c r="S5">
        <v>7.38</v>
      </c>
      <c r="T5">
        <v>2.4900000000000002</v>
      </c>
      <c r="U5">
        <v>4.04</v>
      </c>
      <c r="V5">
        <v>4.0999999999999996</v>
      </c>
      <c r="W5">
        <v>3.23</v>
      </c>
      <c r="X5">
        <v>5</v>
      </c>
      <c r="Y5">
        <v>3.2</v>
      </c>
      <c r="Z5">
        <v>5.34</v>
      </c>
      <c r="AA5">
        <v>3.47</v>
      </c>
      <c r="AB5">
        <v>3.42</v>
      </c>
      <c r="AC5">
        <v>4.97</v>
      </c>
      <c r="AD5">
        <v>4.49</v>
      </c>
      <c r="AE5">
        <v>6.98</v>
      </c>
      <c r="AF5">
        <v>5.82</v>
      </c>
      <c r="AG5">
        <v>3.31</v>
      </c>
      <c r="AH5">
        <v>3.85</v>
      </c>
      <c r="AI5">
        <v>2.82</v>
      </c>
      <c r="AJ5">
        <v>7.49</v>
      </c>
      <c r="AK5">
        <v>3.97</v>
      </c>
    </row>
    <row r="6" spans="1:37" x14ac:dyDescent="0.25">
      <c r="A6" t="s">
        <v>2</v>
      </c>
      <c r="B6">
        <v>4.21</v>
      </c>
      <c r="C6">
        <v>8.69</v>
      </c>
      <c r="D6">
        <v>6.44</v>
      </c>
      <c r="E6">
        <v>7.25</v>
      </c>
      <c r="F6">
        <v>5.81</v>
      </c>
      <c r="G6">
        <v>6.46</v>
      </c>
      <c r="H6">
        <v>4.18</v>
      </c>
      <c r="I6">
        <v>7.08</v>
      </c>
      <c r="J6">
        <v>7.73</v>
      </c>
      <c r="K6">
        <v>5.27</v>
      </c>
      <c r="L6">
        <v>5.65</v>
      </c>
      <c r="M6">
        <v>5.99</v>
      </c>
      <c r="N6">
        <v>8.4700000000000006</v>
      </c>
      <c r="O6">
        <v>10.23</v>
      </c>
      <c r="P6">
        <v>9.33</v>
      </c>
      <c r="Q6">
        <v>7.1</v>
      </c>
      <c r="R6">
        <v>6.06</v>
      </c>
      <c r="S6">
        <v>5.22</v>
      </c>
      <c r="T6">
        <v>5.95</v>
      </c>
      <c r="U6">
        <v>5.64</v>
      </c>
      <c r="V6">
        <v>6.78</v>
      </c>
      <c r="W6">
        <v>8.0299999999999994</v>
      </c>
      <c r="X6">
        <v>5.51</v>
      </c>
      <c r="Y6">
        <v>5.7</v>
      </c>
      <c r="Z6">
        <v>4.18</v>
      </c>
      <c r="AA6">
        <v>5.12</v>
      </c>
      <c r="AB6">
        <v>4.46</v>
      </c>
      <c r="AC6">
        <v>3.24</v>
      </c>
      <c r="AD6">
        <v>3.33</v>
      </c>
      <c r="AE6">
        <v>4.67</v>
      </c>
      <c r="AF6">
        <v>3.52</v>
      </c>
      <c r="AG6">
        <v>6.14</v>
      </c>
      <c r="AH6">
        <v>4.6100000000000003</v>
      </c>
      <c r="AI6">
        <v>5.47</v>
      </c>
      <c r="AJ6">
        <v>7</v>
      </c>
      <c r="AK6">
        <v>4.51</v>
      </c>
    </row>
    <row r="7" spans="1:37" x14ac:dyDescent="0.25">
      <c r="A7" t="s">
        <v>3</v>
      </c>
      <c r="B7">
        <v>4.5599999999999996</v>
      </c>
      <c r="C7">
        <v>5.32</v>
      </c>
      <c r="D7">
        <v>4.8899999999999997</v>
      </c>
      <c r="E7">
        <v>7.14</v>
      </c>
      <c r="F7">
        <v>4.63</v>
      </c>
      <c r="G7">
        <v>4.63</v>
      </c>
      <c r="H7">
        <v>6.46</v>
      </c>
      <c r="I7">
        <v>6.01</v>
      </c>
      <c r="J7">
        <v>5.98</v>
      </c>
      <c r="K7">
        <v>6.78</v>
      </c>
      <c r="L7">
        <v>4.16</v>
      </c>
      <c r="M7">
        <v>5.15</v>
      </c>
      <c r="N7">
        <v>5.57</v>
      </c>
      <c r="O7">
        <v>5.17</v>
      </c>
      <c r="P7">
        <v>5.93</v>
      </c>
      <c r="Q7">
        <v>8.84</v>
      </c>
      <c r="R7">
        <v>8.75</v>
      </c>
      <c r="S7">
        <v>8.14</v>
      </c>
      <c r="T7">
        <v>5.0599999999999996</v>
      </c>
      <c r="U7">
        <v>4.78</v>
      </c>
      <c r="V7">
        <v>4.6500000000000004</v>
      </c>
      <c r="W7">
        <v>6.22</v>
      </c>
      <c r="X7">
        <v>4.4800000000000004</v>
      </c>
      <c r="Y7">
        <v>5.51</v>
      </c>
      <c r="Z7">
        <v>3.02</v>
      </c>
      <c r="AA7">
        <v>5.99</v>
      </c>
      <c r="AB7">
        <v>4.58</v>
      </c>
      <c r="AC7">
        <v>4.4400000000000004</v>
      </c>
      <c r="AD7">
        <v>6.17</v>
      </c>
      <c r="AE7">
        <v>5.98</v>
      </c>
      <c r="AF7">
        <v>5.0999999999999996</v>
      </c>
      <c r="AG7">
        <v>5.99</v>
      </c>
      <c r="AH7">
        <v>4.97</v>
      </c>
      <c r="AI7">
        <v>7.79</v>
      </c>
      <c r="AJ7">
        <v>7.81</v>
      </c>
      <c r="AK7">
        <v>5.28</v>
      </c>
    </row>
    <row r="8" spans="1:37" x14ac:dyDescent="0.25">
      <c r="A8" t="s">
        <v>4</v>
      </c>
      <c r="B8">
        <v>6.6</v>
      </c>
      <c r="C8">
        <v>4.13</v>
      </c>
      <c r="D8">
        <v>5.42</v>
      </c>
      <c r="E8">
        <v>4.9000000000000004</v>
      </c>
      <c r="F8">
        <v>8.15</v>
      </c>
      <c r="G8">
        <v>9.0299999999999994</v>
      </c>
      <c r="H8">
        <v>6.34</v>
      </c>
      <c r="I8">
        <v>4.66</v>
      </c>
      <c r="J8">
        <v>5.53</v>
      </c>
      <c r="K8">
        <v>9.51</v>
      </c>
      <c r="L8">
        <v>8.7200000000000006</v>
      </c>
      <c r="M8">
        <v>8.52</v>
      </c>
      <c r="N8">
        <v>1.59</v>
      </c>
      <c r="O8">
        <v>4.97</v>
      </c>
      <c r="P8">
        <v>4.7300000000000004</v>
      </c>
      <c r="Q8">
        <v>5.87</v>
      </c>
      <c r="R8">
        <v>6.66</v>
      </c>
      <c r="S8">
        <v>3.68</v>
      </c>
      <c r="T8">
        <v>4.92</v>
      </c>
      <c r="U8">
        <v>7.64</v>
      </c>
      <c r="V8">
        <v>8.6</v>
      </c>
      <c r="W8">
        <v>3.78</v>
      </c>
      <c r="X8">
        <v>7.6</v>
      </c>
      <c r="Y8">
        <v>7.27</v>
      </c>
      <c r="Z8">
        <v>5.2</v>
      </c>
      <c r="AA8">
        <v>5.72</v>
      </c>
      <c r="AB8">
        <v>4.74</v>
      </c>
      <c r="AC8">
        <v>3.32</v>
      </c>
      <c r="AD8">
        <v>3.32</v>
      </c>
      <c r="AE8">
        <v>5.49</v>
      </c>
      <c r="AF8">
        <v>8.1</v>
      </c>
      <c r="AG8">
        <v>3.62</v>
      </c>
      <c r="AH8">
        <v>3.3</v>
      </c>
      <c r="AI8">
        <v>6.4</v>
      </c>
      <c r="AJ8">
        <v>5.27</v>
      </c>
      <c r="AK8">
        <v>3.92</v>
      </c>
    </row>
    <row r="9" spans="1:37" x14ac:dyDescent="0.25">
      <c r="A9" s="1">
        <v>45501</v>
      </c>
    </row>
    <row r="10" spans="1:37" x14ac:dyDescent="0.25">
      <c r="B10" t="s">
        <v>7</v>
      </c>
      <c r="C10" t="s">
        <v>7</v>
      </c>
      <c r="D10" t="s">
        <v>8</v>
      </c>
      <c r="E10" t="s">
        <v>8</v>
      </c>
      <c r="F10" t="s">
        <v>9</v>
      </c>
      <c r="G10" t="s">
        <v>9</v>
      </c>
      <c r="H10" t="s">
        <v>10</v>
      </c>
      <c r="I10" t="s">
        <v>10</v>
      </c>
      <c r="J10" t="s">
        <v>11</v>
      </c>
      <c r="K10" t="s">
        <v>11</v>
      </c>
      <c r="L10" t="s">
        <v>12</v>
      </c>
      <c r="M10" t="s">
        <v>12</v>
      </c>
      <c r="N10" t="s">
        <v>13</v>
      </c>
      <c r="O10" t="s">
        <v>13</v>
      </c>
      <c r="P10" t="s">
        <v>14</v>
      </c>
      <c r="Q10" t="s">
        <v>14</v>
      </c>
      <c r="R10" t="s">
        <v>15</v>
      </c>
      <c r="S10" t="s">
        <v>15</v>
      </c>
      <c r="T10" t="s">
        <v>16</v>
      </c>
      <c r="U10" t="s">
        <v>16</v>
      </c>
      <c r="V10" t="s">
        <v>17</v>
      </c>
      <c r="W10" t="s">
        <v>17</v>
      </c>
      <c r="X10" t="s">
        <v>18</v>
      </c>
      <c r="Y10" t="s">
        <v>18</v>
      </c>
      <c r="Z10" t="s">
        <v>19</v>
      </c>
      <c r="AA10" t="s">
        <v>19</v>
      </c>
      <c r="AB10" t="s">
        <v>20</v>
      </c>
      <c r="AC10" t="s">
        <v>20</v>
      </c>
      <c r="AD10" t="s">
        <v>21</v>
      </c>
      <c r="AE10" t="s">
        <v>21</v>
      </c>
      <c r="AF10" t="s">
        <v>22</v>
      </c>
      <c r="AG10" t="s">
        <v>22</v>
      </c>
      <c r="AH10" t="s">
        <v>23</v>
      </c>
      <c r="AI10" t="s">
        <v>23</v>
      </c>
      <c r="AJ10" t="s">
        <v>24</v>
      </c>
      <c r="AK10" t="s">
        <v>24</v>
      </c>
    </row>
    <row r="11" spans="1:37" x14ac:dyDescent="0.25">
      <c r="B11" t="s">
        <v>5</v>
      </c>
      <c r="C11" t="s">
        <v>6</v>
      </c>
      <c r="D11" t="s">
        <v>5</v>
      </c>
      <c r="E11" t="s">
        <v>6</v>
      </c>
      <c r="F11" t="s">
        <v>5</v>
      </c>
      <c r="G11" t="s">
        <v>6</v>
      </c>
      <c r="H11" t="s">
        <v>5</v>
      </c>
      <c r="I11" t="s">
        <v>6</v>
      </c>
      <c r="J11" t="s">
        <v>5</v>
      </c>
      <c r="K11" t="s">
        <v>6</v>
      </c>
      <c r="L11" t="s">
        <v>5</v>
      </c>
      <c r="M11" t="s">
        <v>6</v>
      </c>
      <c r="N11" t="s">
        <v>5</v>
      </c>
      <c r="O11" t="s">
        <v>6</v>
      </c>
      <c r="P11" t="s">
        <v>5</v>
      </c>
      <c r="Q11" t="s">
        <v>6</v>
      </c>
      <c r="R11" t="s">
        <v>5</v>
      </c>
      <c r="S11" t="s">
        <v>6</v>
      </c>
      <c r="T11" t="s">
        <v>5</v>
      </c>
      <c r="U11" t="s">
        <v>6</v>
      </c>
      <c r="V11" t="s">
        <v>5</v>
      </c>
      <c r="W11" t="s">
        <v>6</v>
      </c>
      <c r="X11" t="s">
        <v>5</v>
      </c>
      <c r="Y11" t="s">
        <v>6</v>
      </c>
      <c r="Z11" t="s">
        <v>5</v>
      </c>
      <c r="AA11" t="s">
        <v>6</v>
      </c>
      <c r="AB11" t="s">
        <v>5</v>
      </c>
      <c r="AC11" t="s">
        <v>6</v>
      </c>
      <c r="AD11" t="s">
        <v>5</v>
      </c>
      <c r="AE11" t="s">
        <v>6</v>
      </c>
      <c r="AF11" t="s">
        <v>5</v>
      </c>
      <c r="AG11" t="s">
        <v>6</v>
      </c>
      <c r="AH11" t="s">
        <v>5</v>
      </c>
      <c r="AI11" t="s">
        <v>6</v>
      </c>
      <c r="AJ11" t="s">
        <v>5</v>
      </c>
      <c r="AK11" t="s">
        <v>6</v>
      </c>
    </row>
    <row r="12" spans="1:37" x14ac:dyDescent="0.25">
      <c r="A12" t="s">
        <v>0</v>
      </c>
      <c r="B12">
        <v>3.5</v>
      </c>
      <c r="C12">
        <v>6.95</v>
      </c>
      <c r="D12">
        <v>6.62</v>
      </c>
      <c r="E12">
        <v>8.8800000000000008</v>
      </c>
      <c r="F12">
        <v>9.41</v>
      </c>
      <c r="G12">
        <v>8.7799999999999994</v>
      </c>
      <c r="H12">
        <v>6.54</v>
      </c>
      <c r="I12">
        <v>4.9400000000000004</v>
      </c>
      <c r="J12">
        <v>9.06</v>
      </c>
      <c r="K12">
        <v>7.84</v>
      </c>
      <c r="L12">
        <v>3.3</v>
      </c>
      <c r="M12">
        <v>5.31</v>
      </c>
      <c r="N12">
        <v>5.23</v>
      </c>
      <c r="O12">
        <v>6.67</v>
      </c>
      <c r="P12">
        <v>3.77</v>
      </c>
      <c r="Q12">
        <v>5.93</v>
      </c>
      <c r="R12">
        <v>5.26</v>
      </c>
      <c r="S12">
        <v>5.0199999999999996</v>
      </c>
      <c r="T12">
        <v>7.98</v>
      </c>
      <c r="U12">
        <v>5.8</v>
      </c>
      <c r="V12">
        <v>11.74</v>
      </c>
      <c r="W12">
        <v>3.02</v>
      </c>
      <c r="X12">
        <v>2.88</v>
      </c>
      <c r="Y12">
        <v>3.58</v>
      </c>
      <c r="Z12">
        <v>5.79</v>
      </c>
      <c r="AA12">
        <v>7.6</v>
      </c>
      <c r="AB12">
        <v>7.52</v>
      </c>
      <c r="AC12">
        <v>10.58</v>
      </c>
      <c r="AD12">
        <v>6.25</v>
      </c>
      <c r="AE12">
        <v>3.94</v>
      </c>
      <c r="AF12">
        <v>7.03</v>
      </c>
      <c r="AG12">
        <v>4.24</v>
      </c>
      <c r="AH12">
        <v>4.18</v>
      </c>
      <c r="AI12">
        <v>3.4</v>
      </c>
      <c r="AJ12">
        <v>6.15</v>
      </c>
      <c r="AK12">
        <v>6.73</v>
      </c>
    </row>
    <row r="13" spans="1:37" x14ac:dyDescent="0.25">
      <c r="A13" t="s">
        <v>1</v>
      </c>
      <c r="B13">
        <v>3.98</v>
      </c>
      <c r="C13">
        <v>6.9</v>
      </c>
      <c r="D13">
        <v>6.1</v>
      </c>
      <c r="E13">
        <v>10.4</v>
      </c>
      <c r="F13">
        <v>3.91</v>
      </c>
      <c r="G13">
        <v>3.61</v>
      </c>
      <c r="H13">
        <v>5.89</v>
      </c>
      <c r="I13">
        <v>5.31</v>
      </c>
      <c r="J13">
        <v>5.13</v>
      </c>
      <c r="K13">
        <v>8.18</v>
      </c>
      <c r="L13">
        <v>3.41</v>
      </c>
      <c r="M13">
        <v>5.25</v>
      </c>
      <c r="N13">
        <v>3.58</v>
      </c>
      <c r="O13">
        <v>10.26</v>
      </c>
      <c r="P13">
        <v>4.8</v>
      </c>
      <c r="Q13">
        <v>4.78</v>
      </c>
      <c r="R13">
        <v>8.75</v>
      </c>
      <c r="S13">
        <v>9.3800000000000008</v>
      </c>
      <c r="T13">
        <v>6.71</v>
      </c>
      <c r="U13">
        <v>3.6</v>
      </c>
      <c r="V13">
        <v>10.09</v>
      </c>
      <c r="W13">
        <v>2.0099999999999998</v>
      </c>
      <c r="X13">
        <v>3.23</v>
      </c>
      <c r="Y13">
        <v>5.6</v>
      </c>
      <c r="Z13">
        <v>4.1500000000000004</v>
      </c>
      <c r="AA13">
        <v>3.36</v>
      </c>
      <c r="AB13">
        <v>5.87</v>
      </c>
      <c r="AC13">
        <v>5.91</v>
      </c>
      <c r="AD13">
        <v>6.81</v>
      </c>
      <c r="AE13">
        <v>6.18</v>
      </c>
      <c r="AF13">
        <v>6.94</v>
      </c>
      <c r="AG13">
        <v>3.87</v>
      </c>
      <c r="AH13">
        <v>2.91</v>
      </c>
      <c r="AI13">
        <v>2.83</v>
      </c>
      <c r="AJ13">
        <v>5.32</v>
      </c>
      <c r="AK13">
        <v>7.03</v>
      </c>
    </row>
    <row r="14" spans="1:37" x14ac:dyDescent="0.25">
      <c r="A14" t="s">
        <v>2</v>
      </c>
      <c r="B14">
        <v>6.26</v>
      </c>
      <c r="C14">
        <v>4.54</v>
      </c>
      <c r="D14">
        <v>10.32</v>
      </c>
      <c r="E14">
        <v>5.57</v>
      </c>
      <c r="F14">
        <v>5.78</v>
      </c>
      <c r="G14">
        <v>10.45</v>
      </c>
      <c r="H14">
        <v>5.89</v>
      </c>
      <c r="I14">
        <v>7.32</v>
      </c>
      <c r="J14">
        <v>4.78</v>
      </c>
      <c r="K14">
        <v>4.67</v>
      </c>
      <c r="L14">
        <v>1.26</v>
      </c>
      <c r="M14">
        <v>2.52</v>
      </c>
      <c r="N14">
        <v>5.17</v>
      </c>
      <c r="O14">
        <v>3.24</v>
      </c>
      <c r="P14">
        <v>5.58</v>
      </c>
      <c r="Q14">
        <v>6.42</v>
      </c>
      <c r="R14">
        <v>7.53</v>
      </c>
      <c r="S14">
        <v>6.24</v>
      </c>
      <c r="T14">
        <v>3.85</v>
      </c>
      <c r="U14">
        <v>3.38</v>
      </c>
      <c r="V14">
        <v>3.81</v>
      </c>
      <c r="W14">
        <v>3.38</v>
      </c>
      <c r="X14">
        <v>5.12</v>
      </c>
      <c r="Y14">
        <v>4.8099999999999996</v>
      </c>
      <c r="Z14">
        <v>6.08</v>
      </c>
      <c r="AA14">
        <v>6.27</v>
      </c>
      <c r="AB14">
        <v>4.38</v>
      </c>
      <c r="AC14">
        <v>4.9800000000000004</v>
      </c>
      <c r="AD14">
        <v>4.95</v>
      </c>
      <c r="AE14">
        <v>6.35</v>
      </c>
      <c r="AF14">
        <v>6.64</v>
      </c>
      <c r="AG14">
        <v>8.65</v>
      </c>
      <c r="AH14">
        <v>1.68</v>
      </c>
      <c r="AI14">
        <v>3.86</v>
      </c>
      <c r="AJ14">
        <v>4.8499999999999996</v>
      </c>
      <c r="AK14">
        <v>7.94</v>
      </c>
    </row>
    <row r="15" spans="1:37" x14ac:dyDescent="0.25">
      <c r="A15" t="s">
        <v>3</v>
      </c>
      <c r="B15">
        <v>5.94</v>
      </c>
      <c r="C15">
        <v>6.46</v>
      </c>
      <c r="D15">
        <v>5.95</v>
      </c>
      <c r="E15">
        <v>3.97</v>
      </c>
      <c r="F15">
        <v>3.8</v>
      </c>
      <c r="G15">
        <v>3.77</v>
      </c>
      <c r="H15">
        <v>3.77</v>
      </c>
      <c r="I15">
        <v>3.09</v>
      </c>
      <c r="J15">
        <v>7.77</v>
      </c>
      <c r="K15">
        <v>2.61</v>
      </c>
      <c r="L15">
        <v>3.91</v>
      </c>
      <c r="M15">
        <v>4.5999999999999996</v>
      </c>
      <c r="N15">
        <v>6.74</v>
      </c>
      <c r="O15">
        <v>5.03</v>
      </c>
      <c r="P15">
        <v>6.26</v>
      </c>
      <c r="Q15">
        <v>4.5999999999999996</v>
      </c>
      <c r="R15">
        <v>6.66</v>
      </c>
      <c r="S15">
        <v>6</v>
      </c>
      <c r="T15">
        <v>6.58</v>
      </c>
      <c r="U15">
        <v>5.32</v>
      </c>
      <c r="V15">
        <v>3.31</v>
      </c>
      <c r="W15">
        <v>3.21</v>
      </c>
      <c r="X15">
        <v>4.4800000000000004</v>
      </c>
      <c r="Y15">
        <v>4.4800000000000004</v>
      </c>
      <c r="Z15">
        <v>4.55</v>
      </c>
      <c r="AA15">
        <v>5.31</v>
      </c>
      <c r="AB15">
        <v>3.78</v>
      </c>
      <c r="AC15">
        <v>2.59</v>
      </c>
      <c r="AD15">
        <v>4.1900000000000004</v>
      </c>
      <c r="AE15">
        <v>6.42</v>
      </c>
      <c r="AF15">
        <v>6.02</v>
      </c>
      <c r="AG15">
        <v>5.25</v>
      </c>
      <c r="AH15">
        <v>2.64</v>
      </c>
      <c r="AI15">
        <v>4.7699999999999996</v>
      </c>
      <c r="AJ15">
        <v>5.55</v>
      </c>
      <c r="AK15">
        <v>4.96</v>
      </c>
    </row>
    <row r="16" spans="1:37" x14ac:dyDescent="0.25">
      <c r="A16" t="s">
        <v>4</v>
      </c>
      <c r="B16">
        <v>3.5</v>
      </c>
      <c r="C16">
        <v>6.4</v>
      </c>
      <c r="D16">
        <v>5.69</v>
      </c>
      <c r="E16">
        <v>9.77</v>
      </c>
      <c r="F16">
        <v>5.96</v>
      </c>
      <c r="G16">
        <v>5.35</v>
      </c>
      <c r="H16">
        <v>3.15</v>
      </c>
      <c r="I16">
        <v>5.76</v>
      </c>
      <c r="J16">
        <v>8.2799999999999994</v>
      </c>
      <c r="K16">
        <v>5.81</v>
      </c>
      <c r="L16">
        <v>1.65</v>
      </c>
      <c r="M16">
        <v>2.7</v>
      </c>
      <c r="N16">
        <v>2.62</v>
      </c>
      <c r="O16">
        <v>7.14</v>
      </c>
      <c r="P16">
        <v>5.69</v>
      </c>
      <c r="Q16">
        <v>4.63</v>
      </c>
      <c r="R16">
        <v>4.59</v>
      </c>
      <c r="S16">
        <v>6.91</v>
      </c>
      <c r="T16">
        <v>10.71</v>
      </c>
      <c r="U16">
        <v>5.64</v>
      </c>
      <c r="V16">
        <v>5.48</v>
      </c>
      <c r="W16">
        <v>2.21</v>
      </c>
      <c r="X16">
        <v>6.98</v>
      </c>
      <c r="Y16">
        <v>5.05</v>
      </c>
      <c r="Z16">
        <v>3.1</v>
      </c>
      <c r="AA16">
        <v>4.16</v>
      </c>
      <c r="AB16">
        <v>7.42</v>
      </c>
      <c r="AC16">
        <v>3.05</v>
      </c>
      <c r="AD16">
        <v>4.55</v>
      </c>
      <c r="AE16">
        <v>4.08</v>
      </c>
      <c r="AF16">
        <v>3.98</v>
      </c>
      <c r="AG16">
        <v>4.8899999999999997</v>
      </c>
      <c r="AH16">
        <v>3.46</v>
      </c>
      <c r="AI16">
        <v>5.85</v>
      </c>
      <c r="AJ16">
        <v>4.83</v>
      </c>
      <c r="AK16">
        <v>2.93</v>
      </c>
    </row>
    <row r="17" spans="1:37" x14ac:dyDescent="0.25">
      <c r="A17" s="1">
        <v>45512</v>
      </c>
    </row>
    <row r="18" spans="1:37" x14ac:dyDescent="0.25">
      <c r="B18" t="s">
        <v>7</v>
      </c>
      <c r="C18" t="s">
        <v>7</v>
      </c>
      <c r="D18" t="s">
        <v>8</v>
      </c>
      <c r="E18" t="s">
        <v>8</v>
      </c>
      <c r="F18" t="s">
        <v>9</v>
      </c>
      <c r="G18" t="s">
        <v>9</v>
      </c>
      <c r="H18" t="s">
        <v>10</v>
      </c>
      <c r="I18" t="s">
        <v>10</v>
      </c>
      <c r="J18" t="s">
        <v>11</v>
      </c>
      <c r="K18" t="s">
        <v>11</v>
      </c>
      <c r="L18" t="s">
        <v>12</v>
      </c>
      <c r="M18" t="s">
        <v>12</v>
      </c>
      <c r="N18" t="s">
        <v>13</v>
      </c>
      <c r="O18" t="s">
        <v>13</v>
      </c>
      <c r="P18" t="s">
        <v>14</v>
      </c>
      <c r="Q18" t="s">
        <v>14</v>
      </c>
      <c r="R18" t="s">
        <v>15</v>
      </c>
      <c r="S18" t="s">
        <v>15</v>
      </c>
      <c r="T18" t="s">
        <v>16</v>
      </c>
      <c r="U18" t="s">
        <v>16</v>
      </c>
      <c r="V18" t="s">
        <v>17</v>
      </c>
      <c r="W18" t="s">
        <v>17</v>
      </c>
      <c r="X18" t="s">
        <v>18</v>
      </c>
      <c r="Y18" t="s">
        <v>18</v>
      </c>
      <c r="Z18" t="s">
        <v>19</v>
      </c>
      <c r="AA18" t="s">
        <v>19</v>
      </c>
      <c r="AB18" t="s">
        <v>20</v>
      </c>
      <c r="AC18" t="s">
        <v>20</v>
      </c>
      <c r="AD18" t="s">
        <v>21</v>
      </c>
      <c r="AE18" t="s">
        <v>21</v>
      </c>
      <c r="AF18" t="s">
        <v>22</v>
      </c>
      <c r="AG18" t="s">
        <v>22</v>
      </c>
      <c r="AH18" t="s">
        <v>23</v>
      </c>
      <c r="AI18" t="s">
        <v>23</v>
      </c>
      <c r="AJ18" t="s">
        <v>24</v>
      </c>
      <c r="AK18" t="s">
        <v>24</v>
      </c>
    </row>
    <row r="19" spans="1:37" x14ac:dyDescent="0.25">
      <c r="B19" t="s">
        <v>5</v>
      </c>
      <c r="C19" t="s">
        <v>6</v>
      </c>
      <c r="D19" t="s">
        <v>5</v>
      </c>
      <c r="E19" t="s">
        <v>6</v>
      </c>
      <c r="F19" t="s">
        <v>5</v>
      </c>
      <c r="G19" t="s">
        <v>6</v>
      </c>
      <c r="H19" t="s">
        <v>5</v>
      </c>
      <c r="I19" t="s">
        <v>6</v>
      </c>
      <c r="J19" t="s">
        <v>5</v>
      </c>
      <c r="K19" t="s">
        <v>6</v>
      </c>
      <c r="L19" t="s">
        <v>5</v>
      </c>
      <c r="M19" t="s">
        <v>6</v>
      </c>
      <c r="N19" t="s">
        <v>5</v>
      </c>
      <c r="O19" t="s">
        <v>6</v>
      </c>
      <c r="P19" t="s">
        <v>5</v>
      </c>
      <c r="Q19" t="s">
        <v>6</v>
      </c>
      <c r="R19" t="s">
        <v>5</v>
      </c>
      <c r="S19" t="s">
        <v>6</v>
      </c>
      <c r="T19" t="s">
        <v>5</v>
      </c>
      <c r="U19" t="s">
        <v>6</v>
      </c>
      <c r="V19" t="s">
        <v>5</v>
      </c>
      <c r="W19" t="s">
        <v>6</v>
      </c>
      <c r="X19" t="s">
        <v>5</v>
      </c>
      <c r="Y19" t="s">
        <v>6</v>
      </c>
      <c r="Z19" t="s">
        <v>5</v>
      </c>
      <c r="AA19" t="s">
        <v>6</v>
      </c>
      <c r="AB19" t="s">
        <v>5</v>
      </c>
      <c r="AC19" t="s">
        <v>6</v>
      </c>
      <c r="AD19" t="s">
        <v>5</v>
      </c>
      <c r="AE19" t="s">
        <v>6</v>
      </c>
      <c r="AF19" t="s">
        <v>5</v>
      </c>
      <c r="AG19" t="s">
        <v>6</v>
      </c>
      <c r="AH19" t="s">
        <v>5</v>
      </c>
      <c r="AI19" t="s">
        <v>6</v>
      </c>
      <c r="AJ19" t="s">
        <v>5</v>
      </c>
      <c r="AK19" t="s">
        <v>6</v>
      </c>
    </row>
    <row r="20" spans="1:37" x14ac:dyDescent="0.25">
      <c r="A20" t="s">
        <v>0</v>
      </c>
      <c r="B20">
        <v>5.93</v>
      </c>
      <c r="C20">
        <v>3.43</v>
      </c>
      <c r="D20">
        <v>4.99</v>
      </c>
      <c r="E20">
        <v>4.42</v>
      </c>
      <c r="F20">
        <v>4.6900000000000004</v>
      </c>
      <c r="G20">
        <v>2.64</v>
      </c>
      <c r="H20">
        <v>3.82</v>
      </c>
      <c r="I20">
        <v>3.27</v>
      </c>
      <c r="J20">
        <v>1.84</v>
      </c>
      <c r="K20">
        <v>9.2200000000000006</v>
      </c>
      <c r="L20">
        <v>1.24</v>
      </c>
      <c r="M20">
        <v>3.39</v>
      </c>
      <c r="N20">
        <v>4.2699999999999996</v>
      </c>
      <c r="O20">
        <v>2.37</v>
      </c>
      <c r="P20">
        <v>5.3</v>
      </c>
      <c r="Q20">
        <v>5.0599999999999996</v>
      </c>
      <c r="R20">
        <v>2.98</v>
      </c>
      <c r="S20">
        <v>4.6500000000000004</v>
      </c>
      <c r="T20">
        <v>5.76</v>
      </c>
      <c r="U20">
        <v>7.09</v>
      </c>
      <c r="X20">
        <v>1.87</v>
      </c>
      <c r="Y20">
        <v>2.72</v>
      </c>
      <c r="Z20">
        <v>4.82</v>
      </c>
      <c r="AA20">
        <v>8</v>
      </c>
      <c r="AB20">
        <v>5.07</v>
      </c>
      <c r="AC20">
        <v>7.75</v>
      </c>
      <c r="AD20">
        <v>6.8</v>
      </c>
      <c r="AE20">
        <v>6.29</v>
      </c>
      <c r="AF20">
        <v>2.5099999999999998</v>
      </c>
      <c r="AG20">
        <v>4.55</v>
      </c>
      <c r="AH20">
        <v>2.1800000000000002</v>
      </c>
      <c r="AI20">
        <v>3.93</v>
      </c>
      <c r="AJ20">
        <v>2.0299999999999998</v>
      </c>
      <c r="AK20">
        <v>2.9</v>
      </c>
    </row>
    <row r="21" spans="1:37" x14ac:dyDescent="0.25">
      <c r="A21" t="s">
        <v>1</v>
      </c>
      <c r="B21">
        <v>5.4</v>
      </c>
      <c r="C21">
        <v>3.62</v>
      </c>
      <c r="D21">
        <v>1.71</v>
      </c>
      <c r="E21">
        <v>8.15</v>
      </c>
      <c r="F21">
        <v>4.32</v>
      </c>
      <c r="G21">
        <v>2.91</v>
      </c>
      <c r="H21">
        <v>4.5</v>
      </c>
      <c r="I21">
        <v>2.6</v>
      </c>
      <c r="J21">
        <v>4.18</v>
      </c>
      <c r="K21">
        <v>1.1200000000000001</v>
      </c>
      <c r="L21">
        <v>2.2200000000000002</v>
      </c>
      <c r="M21">
        <v>2.0499999999999998</v>
      </c>
      <c r="N21">
        <v>3.25</v>
      </c>
      <c r="O21">
        <v>3.13</v>
      </c>
      <c r="P21">
        <v>5.08</v>
      </c>
      <c r="Q21">
        <v>7.66</v>
      </c>
      <c r="R21">
        <v>8.31</v>
      </c>
      <c r="S21">
        <v>1</v>
      </c>
      <c r="T21">
        <v>2.23</v>
      </c>
      <c r="U21">
        <v>2.96</v>
      </c>
      <c r="X21">
        <v>2.33</v>
      </c>
      <c r="Y21">
        <v>1.01</v>
      </c>
      <c r="Z21">
        <v>3.76</v>
      </c>
      <c r="AA21">
        <v>3.65</v>
      </c>
      <c r="AB21">
        <v>7.07</v>
      </c>
      <c r="AC21">
        <v>4.87</v>
      </c>
      <c r="AD21">
        <v>5.34</v>
      </c>
      <c r="AE21">
        <v>5.41</v>
      </c>
      <c r="AF21">
        <v>2.46</v>
      </c>
      <c r="AG21">
        <v>1.87</v>
      </c>
      <c r="AH21">
        <v>2.16</v>
      </c>
      <c r="AI21">
        <v>2.3199999999999998</v>
      </c>
      <c r="AJ21">
        <v>2.63</v>
      </c>
      <c r="AK21">
        <v>4.12</v>
      </c>
    </row>
    <row r="22" spans="1:37" x14ac:dyDescent="0.25">
      <c r="A22" t="s">
        <v>2</v>
      </c>
      <c r="B22">
        <v>1.51</v>
      </c>
      <c r="C22">
        <v>4.75</v>
      </c>
      <c r="D22">
        <v>2.29</v>
      </c>
      <c r="E22">
        <v>6</v>
      </c>
      <c r="F22">
        <v>9.57</v>
      </c>
      <c r="G22">
        <v>3.53</v>
      </c>
      <c r="H22">
        <v>2.72</v>
      </c>
      <c r="I22">
        <v>4.3</v>
      </c>
      <c r="J22">
        <v>8.2200000000000006</v>
      </c>
      <c r="K22">
        <v>3.71</v>
      </c>
      <c r="L22">
        <v>2.17</v>
      </c>
      <c r="M22">
        <v>6.9</v>
      </c>
      <c r="N22">
        <v>2.68</v>
      </c>
      <c r="O22">
        <v>4.8099999999999996</v>
      </c>
      <c r="P22">
        <v>4.1399999999999997</v>
      </c>
      <c r="Q22">
        <v>4.72</v>
      </c>
      <c r="R22">
        <v>4.88</v>
      </c>
      <c r="S22">
        <v>5.15</v>
      </c>
      <c r="T22">
        <v>10.33</v>
      </c>
      <c r="U22">
        <v>3.01</v>
      </c>
      <c r="X22">
        <v>5.62</v>
      </c>
      <c r="Y22">
        <v>2.33</v>
      </c>
      <c r="Z22">
        <v>4.42</v>
      </c>
      <c r="AA22">
        <v>4.62</v>
      </c>
      <c r="AB22">
        <v>6.38</v>
      </c>
      <c r="AC22">
        <v>3.04</v>
      </c>
      <c r="AD22">
        <v>4.91</v>
      </c>
      <c r="AE22">
        <v>2.82</v>
      </c>
      <c r="AF22">
        <v>3.21</v>
      </c>
      <c r="AG22">
        <v>3.06</v>
      </c>
      <c r="AH22">
        <v>2.23</v>
      </c>
      <c r="AI22">
        <v>5.12</v>
      </c>
      <c r="AJ22">
        <v>1.73</v>
      </c>
      <c r="AK22">
        <v>1.46</v>
      </c>
    </row>
    <row r="23" spans="1:37" x14ac:dyDescent="0.25">
      <c r="A23" t="s">
        <v>3</v>
      </c>
      <c r="B23">
        <v>3.8</v>
      </c>
      <c r="C23">
        <v>7.24</v>
      </c>
      <c r="D23">
        <v>6.89</v>
      </c>
      <c r="E23">
        <v>3.28</v>
      </c>
      <c r="F23">
        <v>6.31</v>
      </c>
      <c r="G23">
        <v>5.6</v>
      </c>
      <c r="H23">
        <v>4.6399999999999997</v>
      </c>
      <c r="I23">
        <v>4.59</v>
      </c>
      <c r="J23">
        <v>4.17</v>
      </c>
      <c r="K23">
        <v>2.0299999999999998</v>
      </c>
      <c r="L23">
        <v>1.57</v>
      </c>
      <c r="M23">
        <v>2.9</v>
      </c>
      <c r="N23">
        <v>1.08</v>
      </c>
      <c r="O23">
        <v>2.46</v>
      </c>
      <c r="P23">
        <v>3.56</v>
      </c>
      <c r="Q23">
        <v>4.7</v>
      </c>
      <c r="R23">
        <v>7.95</v>
      </c>
      <c r="S23">
        <v>5.09</v>
      </c>
      <c r="T23">
        <v>7.1</v>
      </c>
      <c r="U23">
        <v>12.89</v>
      </c>
      <c r="X23">
        <v>2.31</v>
      </c>
      <c r="Y23">
        <v>5.12</v>
      </c>
      <c r="Z23">
        <v>3.18</v>
      </c>
      <c r="AA23">
        <v>1.93</v>
      </c>
      <c r="AB23">
        <v>2.6</v>
      </c>
      <c r="AC23">
        <v>4.82</v>
      </c>
      <c r="AD23">
        <v>7.6</v>
      </c>
      <c r="AE23">
        <v>4.4400000000000004</v>
      </c>
      <c r="AF23">
        <v>3.11</v>
      </c>
      <c r="AG23">
        <v>4.1399999999999997</v>
      </c>
      <c r="AH23">
        <v>3.12</v>
      </c>
      <c r="AI23">
        <v>2.52</v>
      </c>
      <c r="AJ23">
        <v>1.36</v>
      </c>
      <c r="AK23">
        <v>2.95</v>
      </c>
    </row>
    <row r="24" spans="1:37" x14ac:dyDescent="0.25">
      <c r="A24" t="s">
        <v>4</v>
      </c>
      <c r="B24">
        <v>5.45</v>
      </c>
      <c r="C24">
        <v>6.45</v>
      </c>
      <c r="D24">
        <v>2.77</v>
      </c>
      <c r="E24">
        <v>3.45</v>
      </c>
      <c r="F24">
        <v>4.47</v>
      </c>
      <c r="G24">
        <v>3.53</v>
      </c>
      <c r="H24">
        <v>4.13</v>
      </c>
      <c r="I24">
        <v>2.56</v>
      </c>
      <c r="J24">
        <v>7.47</v>
      </c>
      <c r="K24">
        <v>8.08</v>
      </c>
      <c r="L24">
        <v>4.6399999999999997</v>
      </c>
      <c r="M24">
        <v>2.86</v>
      </c>
      <c r="N24">
        <v>1.35</v>
      </c>
      <c r="O24">
        <v>1.51</v>
      </c>
      <c r="P24">
        <v>8.98</v>
      </c>
      <c r="Q24">
        <v>5.03</v>
      </c>
      <c r="R24">
        <v>5.15</v>
      </c>
      <c r="S24">
        <v>5.73</v>
      </c>
      <c r="T24">
        <v>5.0599999999999996</v>
      </c>
      <c r="U24">
        <v>9.31</v>
      </c>
      <c r="X24">
        <v>4.3600000000000003</v>
      </c>
      <c r="Y24">
        <v>1.79</v>
      </c>
      <c r="Z24">
        <v>7.33</v>
      </c>
      <c r="AA24">
        <v>4.42</v>
      </c>
      <c r="AB24">
        <v>4.3099999999999996</v>
      </c>
      <c r="AC24">
        <v>4.57</v>
      </c>
      <c r="AD24">
        <v>7.68</v>
      </c>
      <c r="AE24">
        <v>5.84</v>
      </c>
      <c r="AF24">
        <v>3.3</v>
      </c>
      <c r="AG24">
        <v>4.1900000000000004</v>
      </c>
      <c r="AH24">
        <v>4.82</v>
      </c>
      <c r="AI24">
        <v>3.51</v>
      </c>
      <c r="AJ24">
        <v>1.79</v>
      </c>
      <c r="AK24">
        <v>1.39</v>
      </c>
    </row>
    <row r="25" spans="1:37" x14ac:dyDescent="0.25">
      <c r="A25" s="1">
        <v>45533</v>
      </c>
    </row>
    <row r="26" spans="1:37" x14ac:dyDescent="0.25">
      <c r="B26" t="s">
        <v>7</v>
      </c>
      <c r="C26" t="s">
        <v>7</v>
      </c>
      <c r="D26" t="s">
        <v>8</v>
      </c>
      <c r="E26" t="s">
        <v>8</v>
      </c>
      <c r="F26" t="s">
        <v>9</v>
      </c>
      <c r="G26" t="s">
        <v>9</v>
      </c>
      <c r="H26" t="s">
        <v>10</v>
      </c>
      <c r="I26" t="s">
        <v>10</v>
      </c>
      <c r="J26" t="s">
        <v>11</v>
      </c>
      <c r="K26" t="s">
        <v>11</v>
      </c>
      <c r="L26" t="s">
        <v>12</v>
      </c>
      <c r="M26" t="s">
        <v>12</v>
      </c>
      <c r="N26" t="s">
        <v>13</v>
      </c>
      <c r="O26" t="s">
        <v>13</v>
      </c>
      <c r="P26" t="s">
        <v>14</v>
      </c>
      <c r="Q26" t="s">
        <v>14</v>
      </c>
      <c r="R26" t="s">
        <v>15</v>
      </c>
      <c r="S26" t="s">
        <v>15</v>
      </c>
      <c r="T26" t="s">
        <v>16</v>
      </c>
      <c r="U26" t="s">
        <v>16</v>
      </c>
      <c r="V26" t="s">
        <v>17</v>
      </c>
      <c r="W26" t="s">
        <v>17</v>
      </c>
      <c r="X26" t="s">
        <v>18</v>
      </c>
      <c r="Y26" t="s">
        <v>18</v>
      </c>
      <c r="Z26" t="s">
        <v>19</v>
      </c>
      <c r="AA26" t="s">
        <v>19</v>
      </c>
      <c r="AB26" t="s">
        <v>20</v>
      </c>
      <c r="AC26" t="s">
        <v>20</v>
      </c>
      <c r="AD26" t="s">
        <v>21</v>
      </c>
      <c r="AE26" t="s">
        <v>21</v>
      </c>
      <c r="AF26" t="s">
        <v>22</v>
      </c>
      <c r="AG26" t="s">
        <v>22</v>
      </c>
      <c r="AH26" t="s">
        <v>23</v>
      </c>
      <c r="AI26" t="s">
        <v>23</v>
      </c>
      <c r="AJ26" t="s">
        <v>24</v>
      </c>
      <c r="AK26" t="s">
        <v>24</v>
      </c>
    </row>
    <row r="27" spans="1:37" x14ac:dyDescent="0.25">
      <c r="B27" t="s">
        <v>5</v>
      </c>
      <c r="C27" t="s">
        <v>6</v>
      </c>
      <c r="D27" t="s">
        <v>5</v>
      </c>
      <c r="E27" t="s">
        <v>6</v>
      </c>
      <c r="F27" t="s">
        <v>5</v>
      </c>
      <c r="G27" t="s">
        <v>6</v>
      </c>
      <c r="H27" t="s">
        <v>5</v>
      </c>
      <c r="I27" t="s">
        <v>6</v>
      </c>
      <c r="J27" t="s">
        <v>5</v>
      </c>
      <c r="K27" t="s">
        <v>6</v>
      </c>
      <c r="L27" t="s">
        <v>5</v>
      </c>
      <c r="M27" t="s">
        <v>6</v>
      </c>
      <c r="N27" t="s">
        <v>5</v>
      </c>
      <c r="O27" t="s">
        <v>6</v>
      </c>
      <c r="P27" t="s">
        <v>5</v>
      </c>
      <c r="Q27" t="s">
        <v>6</v>
      </c>
      <c r="R27" t="s">
        <v>5</v>
      </c>
      <c r="S27" t="s">
        <v>6</v>
      </c>
      <c r="T27" t="s">
        <v>5</v>
      </c>
      <c r="U27" t="s">
        <v>6</v>
      </c>
      <c r="V27" t="s">
        <v>5</v>
      </c>
      <c r="W27" t="s">
        <v>6</v>
      </c>
      <c r="X27" t="s">
        <v>5</v>
      </c>
      <c r="Y27" t="s">
        <v>6</v>
      </c>
      <c r="Z27" t="s">
        <v>5</v>
      </c>
      <c r="AA27" t="s">
        <v>6</v>
      </c>
      <c r="AB27" t="s">
        <v>5</v>
      </c>
      <c r="AC27" t="s">
        <v>6</v>
      </c>
      <c r="AD27" t="s">
        <v>5</v>
      </c>
      <c r="AE27" t="s">
        <v>6</v>
      </c>
      <c r="AF27" t="s">
        <v>5</v>
      </c>
      <c r="AG27" t="s">
        <v>6</v>
      </c>
      <c r="AH27" t="s">
        <v>5</v>
      </c>
      <c r="AI27" t="s">
        <v>6</v>
      </c>
      <c r="AJ27" t="s">
        <v>5</v>
      </c>
      <c r="AK27" t="s">
        <v>6</v>
      </c>
    </row>
    <row r="28" spans="1:37" x14ac:dyDescent="0.25">
      <c r="A28" t="s">
        <v>0</v>
      </c>
      <c r="B28">
        <v>4.95</v>
      </c>
      <c r="C28">
        <v>2.35</v>
      </c>
      <c r="D28">
        <v>6.4</v>
      </c>
      <c r="E28">
        <v>4.58</v>
      </c>
      <c r="F28">
        <v>5.28</v>
      </c>
      <c r="G28">
        <v>9.58</v>
      </c>
      <c r="H28">
        <v>3.15</v>
      </c>
      <c r="I28">
        <v>1.88</v>
      </c>
      <c r="J28">
        <v>6.66</v>
      </c>
      <c r="K28">
        <v>2.14</v>
      </c>
      <c r="L28">
        <v>2.0499999999999998</v>
      </c>
      <c r="M28">
        <v>8.5399999999999991</v>
      </c>
      <c r="N28">
        <v>1.37</v>
      </c>
      <c r="O28">
        <v>3.45</v>
      </c>
      <c r="P28">
        <v>2.77</v>
      </c>
      <c r="Q28">
        <v>1.46</v>
      </c>
      <c r="R28">
        <v>2.59</v>
      </c>
      <c r="S28">
        <v>2.74</v>
      </c>
      <c r="T28">
        <v>4.18</v>
      </c>
      <c r="U28">
        <v>2.21</v>
      </c>
      <c r="X28">
        <v>6.43</v>
      </c>
      <c r="Y28">
        <v>4.5</v>
      </c>
      <c r="Z28">
        <v>3.48</v>
      </c>
      <c r="AA28">
        <v>3.8</v>
      </c>
      <c r="AB28">
        <v>2.33</v>
      </c>
      <c r="AC28">
        <v>6.54</v>
      </c>
      <c r="AD28">
        <v>1.1499999999999999</v>
      </c>
      <c r="AE28">
        <v>3.88</v>
      </c>
      <c r="AF28">
        <v>6.02</v>
      </c>
      <c r="AG28">
        <v>3.84</v>
      </c>
      <c r="AH28">
        <v>3.52</v>
      </c>
      <c r="AI28">
        <v>3.96</v>
      </c>
      <c r="AJ28">
        <v>5.01</v>
      </c>
      <c r="AK28">
        <v>4.8</v>
      </c>
    </row>
    <row r="29" spans="1:37" x14ac:dyDescent="0.25">
      <c r="A29" t="s">
        <v>1</v>
      </c>
      <c r="B29">
        <v>3.98</v>
      </c>
      <c r="C29">
        <v>3.54</v>
      </c>
      <c r="D29">
        <v>3.43</v>
      </c>
      <c r="E29">
        <v>7.13</v>
      </c>
      <c r="F29">
        <v>8.92</v>
      </c>
      <c r="G29">
        <v>3.95</v>
      </c>
      <c r="H29">
        <v>2.11</v>
      </c>
      <c r="I29">
        <v>4.43</v>
      </c>
      <c r="J29">
        <v>2.91</v>
      </c>
      <c r="K29">
        <v>3.84</v>
      </c>
      <c r="L29">
        <v>2.4300000000000002</v>
      </c>
      <c r="M29">
        <v>2.95</v>
      </c>
      <c r="N29">
        <v>3.74</v>
      </c>
      <c r="O29">
        <v>4.2</v>
      </c>
      <c r="P29">
        <v>8.6</v>
      </c>
      <c r="Q29">
        <v>5.5</v>
      </c>
      <c r="R29">
        <v>4.91</v>
      </c>
      <c r="S29">
        <v>4.37</v>
      </c>
      <c r="T29">
        <v>5.34</v>
      </c>
      <c r="U29">
        <v>3.42</v>
      </c>
      <c r="X29">
        <v>4.0999999999999996</v>
      </c>
      <c r="Y29">
        <v>3.23</v>
      </c>
      <c r="Z29">
        <v>3.74</v>
      </c>
      <c r="AA29">
        <v>3.49</v>
      </c>
      <c r="AB29">
        <v>5.32</v>
      </c>
      <c r="AC29">
        <v>1.1399999999999999</v>
      </c>
      <c r="AD29">
        <v>2.38</v>
      </c>
      <c r="AE29">
        <v>1.23</v>
      </c>
      <c r="AF29">
        <v>3.73</v>
      </c>
      <c r="AG29">
        <v>6.18</v>
      </c>
      <c r="AH29">
        <v>2.84</v>
      </c>
      <c r="AI29">
        <v>4.41</v>
      </c>
      <c r="AJ29">
        <v>3.35</v>
      </c>
      <c r="AK29">
        <v>3.43</v>
      </c>
    </row>
    <row r="30" spans="1:37" x14ac:dyDescent="0.25">
      <c r="A30" t="s">
        <v>2</v>
      </c>
      <c r="B30">
        <v>3.81</v>
      </c>
      <c r="C30">
        <v>2.67</v>
      </c>
      <c r="D30">
        <v>3.89</v>
      </c>
      <c r="E30">
        <v>7.52</v>
      </c>
      <c r="F30">
        <v>7.47</v>
      </c>
      <c r="G30">
        <v>8.27</v>
      </c>
      <c r="H30">
        <v>4.28</v>
      </c>
      <c r="I30">
        <v>6.31</v>
      </c>
      <c r="J30">
        <v>3.65</v>
      </c>
      <c r="K30">
        <v>3.99</v>
      </c>
      <c r="L30">
        <v>2.46</v>
      </c>
      <c r="M30">
        <v>3.95</v>
      </c>
      <c r="N30">
        <v>4.0199999999999996</v>
      </c>
      <c r="O30">
        <v>3.71</v>
      </c>
      <c r="P30">
        <v>2.0099999999999998</v>
      </c>
      <c r="Q30">
        <v>2.89</v>
      </c>
      <c r="R30">
        <v>4.4800000000000004</v>
      </c>
      <c r="S30">
        <v>2.76</v>
      </c>
      <c r="T30">
        <v>5.3</v>
      </c>
      <c r="U30">
        <v>6.66</v>
      </c>
      <c r="X30">
        <v>7.06</v>
      </c>
      <c r="Y30">
        <v>4.72</v>
      </c>
      <c r="Z30">
        <v>2.5099999999999998</v>
      </c>
      <c r="AA30">
        <v>1.9</v>
      </c>
      <c r="AB30">
        <v>1.1100000000000001</v>
      </c>
      <c r="AC30">
        <v>1.91</v>
      </c>
      <c r="AD30">
        <v>1.98</v>
      </c>
      <c r="AE30">
        <v>1.98</v>
      </c>
      <c r="AF30">
        <v>4.17</v>
      </c>
      <c r="AG30">
        <v>3.86</v>
      </c>
      <c r="AH30">
        <v>3.59</v>
      </c>
      <c r="AI30">
        <v>1.1200000000000001</v>
      </c>
      <c r="AJ30">
        <v>1.82</v>
      </c>
      <c r="AK30">
        <v>3.36</v>
      </c>
    </row>
    <row r="31" spans="1:37" x14ac:dyDescent="0.25">
      <c r="A31" t="s">
        <v>3</v>
      </c>
      <c r="B31">
        <v>5.14</v>
      </c>
      <c r="C31">
        <v>5.69</v>
      </c>
      <c r="D31">
        <v>5.56</v>
      </c>
      <c r="E31">
        <v>8.33</v>
      </c>
      <c r="F31">
        <v>4.33</v>
      </c>
      <c r="G31">
        <v>4.62</v>
      </c>
      <c r="H31">
        <v>4.6100000000000003</v>
      </c>
      <c r="I31">
        <v>5.95</v>
      </c>
      <c r="J31">
        <v>1.43</v>
      </c>
      <c r="K31">
        <v>2.2200000000000002</v>
      </c>
      <c r="L31">
        <v>1.44</v>
      </c>
      <c r="M31">
        <v>2.9</v>
      </c>
      <c r="N31">
        <v>2.95</v>
      </c>
      <c r="O31">
        <v>1.86</v>
      </c>
      <c r="P31">
        <v>6.43</v>
      </c>
      <c r="Q31">
        <v>5.54</v>
      </c>
      <c r="R31">
        <v>4.17</v>
      </c>
      <c r="S31">
        <v>3.44</v>
      </c>
      <c r="T31">
        <v>5.05</v>
      </c>
      <c r="U31">
        <v>5.64</v>
      </c>
      <c r="X31">
        <v>3.36</v>
      </c>
      <c r="Y31">
        <v>5.0999999999999996</v>
      </c>
      <c r="Z31">
        <v>3.79</v>
      </c>
      <c r="AA31">
        <v>4.79</v>
      </c>
      <c r="AB31">
        <v>4.28</v>
      </c>
      <c r="AC31">
        <v>2.36</v>
      </c>
      <c r="AD31">
        <v>3.26</v>
      </c>
      <c r="AE31">
        <v>3.7</v>
      </c>
      <c r="AF31">
        <v>3.81</v>
      </c>
      <c r="AG31">
        <v>4.18</v>
      </c>
      <c r="AH31">
        <v>4.03</v>
      </c>
      <c r="AI31">
        <v>2.8</v>
      </c>
      <c r="AJ31">
        <v>3.71</v>
      </c>
      <c r="AK31">
        <v>4.09</v>
      </c>
    </row>
    <row r="32" spans="1:37" x14ac:dyDescent="0.25">
      <c r="A32" t="s">
        <v>4</v>
      </c>
      <c r="B32">
        <v>7.5</v>
      </c>
      <c r="C32">
        <v>4.07</v>
      </c>
      <c r="D32">
        <v>6.16</v>
      </c>
      <c r="E32">
        <v>4.3899999999999997</v>
      </c>
      <c r="F32">
        <v>9.3800000000000008</v>
      </c>
      <c r="G32">
        <v>5.69</v>
      </c>
      <c r="H32">
        <v>7.8</v>
      </c>
      <c r="I32">
        <v>5.65</v>
      </c>
      <c r="J32">
        <v>4.08</v>
      </c>
      <c r="K32">
        <v>2.81</v>
      </c>
      <c r="L32">
        <v>2.54</v>
      </c>
      <c r="M32">
        <v>1.53</v>
      </c>
      <c r="N32">
        <v>6.85</v>
      </c>
      <c r="O32">
        <v>3.33</v>
      </c>
      <c r="P32">
        <v>2.06</v>
      </c>
      <c r="Q32">
        <v>4.54</v>
      </c>
      <c r="R32">
        <v>6.98</v>
      </c>
      <c r="S32">
        <v>3.55</v>
      </c>
      <c r="T32">
        <v>3.37</v>
      </c>
      <c r="U32">
        <v>1.88</v>
      </c>
      <c r="X32">
        <v>2.5</v>
      </c>
      <c r="Y32">
        <v>3.18</v>
      </c>
      <c r="Z32">
        <v>4.28</v>
      </c>
      <c r="AA32">
        <v>2.85</v>
      </c>
      <c r="AB32">
        <v>4.8</v>
      </c>
      <c r="AC32">
        <v>1.61</v>
      </c>
      <c r="AD32">
        <v>3.35</v>
      </c>
      <c r="AE32">
        <v>2.2799999999999998</v>
      </c>
      <c r="AF32">
        <v>3.76</v>
      </c>
      <c r="AG32">
        <v>3.71</v>
      </c>
      <c r="AH32">
        <v>3.87</v>
      </c>
      <c r="AI32">
        <v>3.29</v>
      </c>
      <c r="AJ32">
        <v>2.17</v>
      </c>
      <c r="AK32">
        <v>2.65</v>
      </c>
    </row>
    <row r="33" spans="1:37" x14ac:dyDescent="0.25">
      <c r="A33" s="1">
        <v>45548</v>
      </c>
    </row>
    <row r="34" spans="1:37" x14ac:dyDescent="0.25">
      <c r="B34" t="s">
        <v>7</v>
      </c>
      <c r="C34" t="s">
        <v>7</v>
      </c>
      <c r="D34" t="s">
        <v>8</v>
      </c>
      <c r="E34" t="s">
        <v>8</v>
      </c>
      <c r="F34" t="s">
        <v>9</v>
      </c>
      <c r="G34" t="s">
        <v>9</v>
      </c>
      <c r="H34" t="s">
        <v>10</v>
      </c>
      <c r="I34" t="s">
        <v>10</v>
      </c>
      <c r="J34" t="s">
        <v>11</v>
      </c>
      <c r="K34" t="s">
        <v>11</v>
      </c>
      <c r="L34" t="s">
        <v>12</v>
      </c>
      <c r="M34" t="s">
        <v>12</v>
      </c>
      <c r="N34" t="s">
        <v>13</v>
      </c>
      <c r="O34" t="s">
        <v>13</v>
      </c>
      <c r="P34" t="s">
        <v>14</v>
      </c>
      <c r="Q34" t="s">
        <v>14</v>
      </c>
      <c r="R34" t="s">
        <v>15</v>
      </c>
      <c r="S34" t="s">
        <v>15</v>
      </c>
      <c r="T34" t="s">
        <v>16</v>
      </c>
      <c r="U34" t="s">
        <v>16</v>
      </c>
      <c r="V34" t="s">
        <v>17</v>
      </c>
      <c r="W34" t="s">
        <v>17</v>
      </c>
      <c r="X34" t="s">
        <v>18</v>
      </c>
      <c r="Y34" t="s">
        <v>18</v>
      </c>
      <c r="Z34" t="s">
        <v>19</v>
      </c>
      <c r="AA34" t="s">
        <v>19</v>
      </c>
      <c r="AB34" t="s">
        <v>20</v>
      </c>
      <c r="AC34" t="s">
        <v>20</v>
      </c>
      <c r="AD34" t="s">
        <v>21</v>
      </c>
      <c r="AE34" t="s">
        <v>21</v>
      </c>
      <c r="AF34" t="s">
        <v>22</v>
      </c>
      <c r="AG34" t="s">
        <v>22</v>
      </c>
      <c r="AH34" t="s">
        <v>23</v>
      </c>
      <c r="AI34" t="s">
        <v>23</v>
      </c>
      <c r="AJ34" t="s">
        <v>24</v>
      </c>
      <c r="AK34" t="s">
        <v>24</v>
      </c>
    </row>
    <row r="35" spans="1:37" x14ac:dyDescent="0.25">
      <c r="B35" t="s">
        <v>5</v>
      </c>
      <c r="C35" t="s">
        <v>6</v>
      </c>
      <c r="D35" t="s">
        <v>5</v>
      </c>
      <c r="E35" t="s">
        <v>6</v>
      </c>
      <c r="F35" t="s">
        <v>5</v>
      </c>
      <c r="G35" t="s">
        <v>6</v>
      </c>
      <c r="H35" t="s">
        <v>5</v>
      </c>
      <c r="I35" t="s">
        <v>6</v>
      </c>
      <c r="J35" t="s">
        <v>5</v>
      </c>
      <c r="K35" t="s">
        <v>6</v>
      </c>
      <c r="L35" t="s">
        <v>5</v>
      </c>
      <c r="M35" t="s">
        <v>6</v>
      </c>
      <c r="N35" t="s">
        <v>5</v>
      </c>
      <c r="O35" t="s">
        <v>6</v>
      </c>
      <c r="P35" t="s">
        <v>5</v>
      </c>
      <c r="Q35" t="s">
        <v>6</v>
      </c>
      <c r="R35" t="s">
        <v>5</v>
      </c>
      <c r="S35" t="s">
        <v>6</v>
      </c>
      <c r="T35" t="s">
        <v>5</v>
      </c>
      <c r="U35" t="s">
        <v>6</v>
      </c>
      <c r="V35" t="s">
        <v>5</v>
      </c>
      <c r="W35" t="s">
        <v>6</v>
      </c>
      <c r="X35" t="s">
        <v>5</v>
      </c>
      <c r="Y35" t="s">
        <v>6</v>
      </c>
      <c r="Z35" t="s">
        <v>5</v>
      </c>
      <c r="AA35" t="s">
        <v>6</v>
      </c>
      <c r="AB35" t="s">
        <v>5</v>
      </c>
      <c r="AC35" t="s">
        <v>6</v>
      </c>
      <c r="AD35" t="s">
        <v>5</v>
      </c>
      <c r="AE35" t="s">
        <v>6</v>
      </c>
      <c r="AF35" t="s">
        <v>5</v>
      </c>
      <c r="AG35" t="s">
        <v>6</v>
      </c>
      <c r="AH35" t="s">
        <v>5</v>
      </c>
      <c r="AI35" t="s">
        <v>6</v>
      </c>
      <c r="AJ35" t="s">
        <v>5</v>
      </c>
      <c r="AK35" t="s">
        <v>6</v>
      </c>
    </row>
    <row r="36" spans="1:37" x14ac:dyDescent="0.25">
      <c r="A36" t="s">
        <v>0</v>
      </c>
      <c r="B36">
        <v>2.5299999999999998</v>
      </c>
      <c r="C36">
        <v>7.25</v>
      </c>
      <c r="D36">
        <v>3.59</v>
      </c>
      <c r="E36">
        <v>3.25</v>
      </c>
      <c r="F36">
        <v>6.36</v>
      </c>
      <c r="G36">
        <v>4.95</v>
      </c>
      <c r="H36">
        <v>1.04</v>
      </c>
      <c r="I36">
        <v>2.89</v>
      </c>
      <c r="J36">
        <v>2.62</v>
      </c>
      <c r="K36">
        <v>1.88</v>
      </c>
      <c r="L36">
        <v>2.92</v>
      </c>
      <c r="M36">
        <v>1.22</v>
      </c>
      <c r="N36">
        <v>1.54</v>
      </c>
      <c r="O36">
        <v>0.93</v>
      </c>
      <c r="P36">
        <v>2.96</v>
      </c>
      <c r="Q36">
        <v>6.62</v>
      </c>
      <c r="R36">
        <v>0.84</v>
      </c>
      <c r="S36">
        <v>1.89</v>
      </c>
      <c r="T36">
        <v>5.26</v>
      </c>
      <c r="U36">
        <v>1.97</v>
      </c>
      <c r="X36">
        <v>2.79</v>
      </c>
      <c r="Y36">
        <v>1.79</v>
      </c>
      <c r="Z36">
        <v>1.83</v>
      </c>
      <c r="AA36">
        <v>2.15</v>
      </c>
      <c r="AB36">
        <v>2.12</v>
      </c>
      <c r="AC36">
        <v>2.08</v>
      </c>
      <c r="AD36">
        <v>6.69</v>
      </c>
      <c r="AE36">
        <v>2.92</v>
      </c>
      <c r="AF36">
        <v>4.9800000000000004</v>
      </c>
      <c r="AG36">
        <v>2.8</v>
      </c>
      <c r="AH36">
        <v>1.92</v>
      </c>
      <c r="AI36">
        <v>3.87</v>
      </c>
      <c r="AJ36">
        <v>1.75</v>
      </c>
      <c r="AK36">
        <v>1.35</v>
      </c>
    </row>
    <row r="37" spans="1:37" x14ac:dyDescent="0.25">
      <c r="A37" t="s">
        <v>1</v>
      </c>
      <c r="B37">
        <v>4.3099999999999996</v>
      </c>
      <c r="C37">
        <v>2.67</v>
      </c>
      <c r="D37">
        <v>9.82</v>
      </c>
      <c r="E37">
        <v>6.2</v>
      </c>
      <c r="F37">
        <v>6.16</v>
      </c>
      <c r="G37">
        <v>5.05</v>
      </c>
      <c r="H37">
        <v>3.4</v>
      </c>
      <c r="I37">
        <v>1.01</v>
      </c>
      <c r="J37">
        <v>8.3699999999999992</v>
      </c>
      <c r="K37">
        <v>5.93</v>
      </c>
      <c r="L37">
        <v>1.02</v>
      </c>
      <c r="M37">
        <v>6.23</v>
      </c>
      <c r="N37">
        <v>1.24</v>
      </c>
      <c r="O37">
        <v>3.96</v>
      </c>
      <c r="P37">
        <v>1.92</v>
      </c>
      <c r="Q37">
        <v>2.95</v>
      </c>
      <c r="R37">
        <v>1.1000000000000001</v>
      </c>
      <c r="S37">
        <v>3.86</v>
      </c>
      <c r="T37">
        <v>4.72</v>
      </c>
      <c r="U37">
        <v>4.67</v>
      </c>
      <c r="X37">
        <v>1.3</v>
      </c>
      <c r="Y37">
        <v>5.59</v>
      </c>
      <c r="Z37">
        <v>1.84</v>
      </c>
      <c r="AA37">
        <v>2.06</v>
      </c>
      <c r="AB37">
        <v>3.47</v>
      </c>
      <c r="AC37">
        <v>5.15</v>
      </c>
      <c r="AD37">
        <v>2.88</v>
      </c>
      <c r="AE37">
        <v>1.81</v>
      </c>
      <c r="AF37">
        <v>7.25</v>
      </c>
      <c r="AG37">
        <v>1.7</v>
      </c>
      <c r="AH37">
        <v>1.39</v>
      </c>
      <c r="AI37">
        <v>2.93</v>
      </c>
      <c r="AJ37">
        <v>1.44</v>
      </c>
      <c r="AK37">
        <v>0.56999999999999995</v>
      </c>
    </row>
    <row r="38" spans="1:37" x14ac:dyDescent="0.25">
      <c r="A38" t="s">
        <v>2</v>
      </c>
      <c r="B38">
        <v>4.07</v>
      </c>
      <c r="C38">
        <v>3.23</v>
      </c>
      <c r="D38">
        <v>7.52</v>
      </c>
      <c r="E38">
        <v>7.06</v>
      </c>
      <c r="F38">
        <v>10.54</v>
      </c>
      <c r="G38">
        <v>5.41</v>
      </c>
      <c r="H38">
        <v>11.45</v>
      </c>
      <c r="I38">
        <v>4.7699999999999996</v>
      </c>
      <c r="J38">
        <v>7.24</v>
      </c>
      <c r="K38">
        <v>6.78</v>
      </c>
      <c r="L38">
        <v>6.04</v>
      </c>
      <c r="M38">
        <v>1.01</v>
      </c>
      <c r="N38">
        <v>0.54</v>
      </c>
      <c r="O38">
        <v>1.35</v>
      </c>
      <c r="P38">
        <v>6.1</v>
      </c>
      <c r="Q38">
        <v>5.04</v>
      </c>
      <c r="R38">
        <v>2.6</v>
      </c>
      <c r="S38">
        <v>1.83</v>
      </c>
      <c r="T38">
        <v>3.98</v>
      </c>
      <c r="U38">
        <v>2.63</v>
      </c>
      <c r="X38">
        <v>2.85</v>
      </c>
      <c r="Y38">
        <v>3.58</v>
      </c>
      <c r="Z38">
        <v>4.93</v>
      </c>
      <c r="AA38">
        <v>6.36</v>
      </c>
      <c r="AB38">
        <v>5.35</v>
      </c>
      <c r="AC38">
        <v>7.18</v>
      </c>
      <c r="AD38">
        <v>1.88</v>
      </c>
      <c r="AE38">
        <v>4.8600000000000003</v>
      </c>
      <c r="AF38">
        <v>3.26</v>
      </c>
      <c r="AG38">
        <v>0.96</v>
      </c>
      <c r="AH38">
        <v>0.31</v>
      </c>
      <c r="AI38">
        <v>2.54</v>
      </c>
      <c r="AJ38">
        <v>1.87</v>
      </c>
      <c r="AK38">
        <v>2.09</v>
      </c>
    </row>
    <row r="39" spans="1:37" x14ac:dyDescent="0.25">
      <c r="A39" t="s">
        <v>3</v>
      </c>
      <c r="B39">
        <v>4.4000000000000004</v>
      </c>
      <c r="C39">
        <v>2.2599999999999998</v>
      </c>
      <c r="D39">
        <v>3.51</v>
      </c>
      <c r="E39">
        <v>2.54</v>
      </c>
      <c r="F39">
        <v>2.0699999999999998</v>
      </c>
      <c r="G39">
        <v>10.18</v>
      </c>
      <c r="H39">
        <v>5.4</v>
      </c>
      <c r="I39">
        <v>5.56</v>
      </c>
      <c r="J39">
        <v>10.3</v>
      </c>
      <c r="K39">
        <v>3.78</v>
      </c>
      <c r="L39">
        <v>5.19</v>
      </c>
      <c r="M39">
        <v>6.18</v>
      </c>
      <c r="N39">
        <v>5.33</v>
      </c>
      <c r="O39">
        <v>0.34</v>
      </c>
      <c r="P39">
        <v>7.79</v>
      </c>
      <c r="Q39">
        <v>1.07</v>
      </c>
      <c r="R39">
        <v>2.61</v>
      </c>
      <c r="S39">
        <v>1.33</v>
      </c>
      <c r="T39">
        <v>7.64</v>
      </c>
      <c r="U39">
        <v>2.88</v>
      </c>
      <c r="X39">
        <v>1.82</v>
      </c>
      <c r="Y39">
        <v>1.29</v>
      </c>
      <c r="Z39">
        <v>3.72</v>
      </c>
      <c r="AA39">
        <v>1.74</v>
      </c>
      <c r="AB39">
        <v>2.23</v>
      </c>
      <c r="AC39">
        <v>6</v>
      </c>
      <c r="AD39">
        <v>0.48</v>
      </c>
      <c r="AE39">
        <v>1.53</v>
      </c>
      <c r="AF39">
        <v>1.41</v>
      </c>
      <c r="AG39">
        <v>2.68</v>
      </c>
      <c r="AH39">
        <v>4.95</v>
      </c>
      <c r="AI39">
        <v>6.06</v>
      </c>
      <c r="AJ39">
        <v>3.18</v>
      </c>
      <c r="AK39">
        <v>0.77</v>
      </c>
    </row>
    <row r="40" spans="1:37" x14ac:dyDescent="0.25">
      <c r="A40" t="s">
        <v>4</v>
      </c>
      <c r="B40">
        <v>6.89</v>
      </c>
      <c r="C40">
        <v>1.7</v>
      </c>
      <c r="D40">
        <v>4.0599999999999996</v>
      </c>
      <c r="E40">
        <v>8.75</v>
      </c>
      <c r="F40">
        <v>9.2100000000000009</v>
      </c>
      <c r="G40">
        <v>5.19</v>
      </c>
      <c r="H40">
        <v>2.02</v>
      </c>
      <c r="I40">
        <v>10.83</v>
      </c>
      <c r="J40">
        <v>2.73</v>
      </c>
      <c r="K40">
        <v>1.34</v>
      </c>
      <c r="L40">
        <v>1.64</v>
      </c>
      <c r="M40">
        <v>5.2</v>
      </c>
      <c r="N40">
        <v>1.8</v>
      </c>
      <c r="O40">
        <v>4.99</v>
      </c>
      <c r="P40">
        <v>3.35</v>
      </c>
      <c r="Q40">
        <v>3.39</v>
      </c>
      <c r="R40">
        <v>2.5499999999999998</v>
      </c>
      <c r="S40">
        <v>5.86</v>
      </c>
      <c r="T40">
        <v>1.95</v>
      </c>
      <c r="U40">
        <v>4.33</v>
      </c>
      <c r="X40">
        <v>3.65</v>
      </c>
      <c r="Y40">
        <v>0.82</v>
      </c>
      <c r="Z40">
        <v>4.95</v>
      </c>
      <c r="AA40">
        <v>3.82</v>
      </c>
      <c r="AB40">
        <v>7</v>
      </c>
      <c r="AC40">
        <v>3.64</v>
      </c>
      <c r="AD40">
        <v>3.85</v>
      </c>
      <c r="AE40">
        <v>2.12</v>
      </c>
      <c r="AF40">
        <v>1.54</v>
      </c>
      <c r="AG40">
        <v>3.82</v>
      </c>
      <c r="AH40">
        <v>1.61</v>
      </c>
      <c r="AI40">
        <v>6.67</v>
      </c>
      <c r="AJ40">
        <v>3.59</v>
      </c>
      <c r="AK40">
        <v>6.26</v>
      </c>
    </row>
    <row r="41" spans="1:37" x14ac:dyDescent="0.25">
      <c r="A41" s="1">
        <v>45561</v>
      </c>
    </row>
    <row r="42" spans="1:37" x14ac:dyDescent="0.25">
      <c r="B42" t="s">
        <v>7</v>
      </c>
      <c r="C42" t="s">
        <v>7</v>
      </c>
      <c r="D42" t="s">
        <v>8</v>
      </c>
      <c r="E42" t="s">
        <v>8</v>
      </c>
      <c r="F42" t="s">
        <v>9</v>
      </c>
      <c r="G42" t="s">
        <v>9</v>
      </c>
      <c r="H42" t="s">
        <v>10</v>
      </c>
      <c r="I42" t="s">
        <v>10</v>
      </c>
      <c r="J42" t="s">
        <v>11</v>
      </c>
      <c r="K42" t="s">
        <v>11</v>
      </c>
      <c r="L42" t="s">
        <v>12</v>
      </c>
      <c r="M42" t="s">
        <v>12</v>
      </c>
      <c r="N42" t="s">
        <v>13</v>
      </c>
      <c r="O42" t="s">
        <v>13</v>
      </c>
      <c r="P42" t="s">
        <v>14</v>
      </c>
      <c r="Q42" t="s">
        <v>14</v>
      </c>
      <c r="R42" t="s">
        <v>15</v>
      </c>
      <c r="S42" t="s">
        <v>15</v>
      </c>
      <c r="T42" t="s">
        <v>16</v>
      </c>
      <c r="U42" t="s">
        <v>16</v>
      </c>
      <c r="V42" t="s">
        <v>17</v>
      </c>
      <c r="W42" t="s">
        <v>17</v>
      </c>
      <c r="X42" t="s">
        <v>18</v>
      </c>
      <c r="Y42" t="s">
        <v>18</v>
      </c>
      <c r="Z42" t="s">
        <v>19</v>
      </c>
      <c r="AA42" t="s">
        <v>19</v>
      </c>
      <c r="AB42" t="s">
        <v>20</v>
      </c>
      <c r="AC42" t="s">
        <v>20</v>
      </c>
      <c r="AD42" t="s">
        <v>21</v>
      </c>
      <c r="AE42" t="s">
        <v>21</v>
      </c>
      <c r="AF42" t="s">
        <v>22</v>
      </c>
      <c r="AG42" t="s">
        <v>22</v>
      </c>
      <c r="AH42" t="s">
        <v>23</v>
      </c>
      <c r="AI42" t="s">
        <v>23</v>
      </c>
      <c r="AJ42" t="s">
        <v>24</v>
      </c>
      <c r="AK42" t="s">
        <v>24</v>
      </c>
    </row>
    <row r="43" spans="1:37" x14ac:dyDescent="0.25">
      <c r="B43" t="s">
        <v>5</v>
      </c>
      <c r="C43" t="s">
        <v>6</v>
      </c>
      <c r="D43" t="s">
        <v>5</v>
      </c>
      <c r="E43" t="s">
        <v>6</v>
      </c>
      <c r="F43" t="s">
        <v>5</v>
      </c>
      <c r="G43" t="s">
        <v>6</v>
      </c>
      <c r="H43" t="s">
        <v>5</v>
      </c>
      <c r="I43" t="s">
        <v>6</v>
      </c>
      <c r="J43" t="s">
        <v>5</v>
      </c>
      <c r="K43" t="s">
        <v>6</v>
      </c>
      <c r="L43" t="s">
        <v>5</v>
      </c>
      <c r="M43" t="s">
        <v>6</v>
      </c>
      <c r="N43" t="s">
        <v>5</v>
      </c>
      <c r="O43" t="s">
        <v>6</v>
      </c>
      <c r="P43" t="s">
        <v>5</v>
      </c>
      <c r="Q43" t="s">
        <v>6</v>
      </c>
      <c r="R43" t="s">
        <v>5</v>
      </c>
      <c r="S43" t="s">
        <v>6</v>
      </c>
      <c r="T43" t="s">
        <v>5</v>
      </c>
      <c r="U43" t="s">
        <v>6</v>
      </c>
      <c r="V43" t="s">
        <v>5</v>
      </c>
      <c r="W43" t="s">
        <v>6</v>
      </c>
      <c r="X43" t="s">
        <v>5</v>
      </c>
      <c r="Y43" t="s">
        <v>6</v>
      </c>
      <c r="Z43" t="s">
        <v>5</v>
      </c>
      <c r="AA43" t="s">
        <v>6</v>
      </c>
      <c r="AB43" t="s">
        <v>5</v>
      </c>
      <c r="AC43" t="s">
        <v>6</v>
      </c>
      <c r="AD43" t="s">
        <v>5</v>
      </c>
      <c r="AE43" t="s">
        <v>6</v>
      </c>
      <c r="AF43" t="s">
        <v>5</v>
      </c>
      <c r="AG43" t="s">
        <v>6</v>
      </c>
      <c r="AH43" t="s">
        <v>5</v>
      </c>
      <c r="AI43" t="s">
        <v>6</v>
      </c>
      <c r="AJ43" t="s">
        <v>5</v>
      </c>
      <c r="AK43" t="s">
        <v>6</v>
      </c>
    </row>
    <row r="44" spans="1:37" x14ac:dyDescent="0.25">
      <c r="A44" t="s">
        <v>0</v>
      </c>
      <c r="B44">
        <v>8.1300000000000008</v>
      </c>
      <c r="C44">
        <v>5.51</v>
      </c>
      <c r="D44">
        <v>2.5099999999999998</v>
      </c>
      <c r="E44">
        <v>9.57</v>
      </c>
      <c r="F44">
        <v>5.66</v>
      </c>
      <c r="G44">
        <v>4.2699999999999996</v>
      </c>
      <c r="H44">
        <v>4.88</v>
      </c>
      <c r="I44">
        <v>4.1900000000000004</v>
      </c>
      <c r="J44">
        <v>3.85</v>
      </c>
      <c r="K44">
        <v>10.99</v>
      </c>
      <c r="L44">
        <v>4.53</v>
      </c>
      <c r="M44">
        <v>8.91</v>
      </c>
      <c r="N44">
        <v>2.81</v>
      </c>
      <c r="O44">
        <v>2.0699999999999998</v>
      </c>
      <c r="P44">
        <v>8.14</v>
      </c>
      <c r="Q44">
        <v>1.51</v>
      </c>
      <c r="R44">
        <v>3.14</v>
      </c>
      <c r="S44">
        <v>5.74</v>
      </c>
      <c r="T44">
        <v>6.29</v>
      </c>
      <c r="U44">
        <v>4.21</v>
      </c>
      <c r="X44">
        <v>4.62</v>
      </c>
      <c r="Y44">
        <v>4.37</v>
      </c>
      <c r="Z44">
        <v>2</v>
      </c>
      <c r="AA44">
        <v>4.59</v>
      </c>
      <c r="AB44">
        <v>1.3</v>
      </c>
      <c r="AC44">
        <v>7.38</v>
      </c>
      <c r="AD44">
        <v>4.5199999999999996</v>
      </c>
      <c r="AE44">
        <v>7.3</v>
      </c>
      <c r="AF44">
        <v>2.66</v>
      </c>
      <c r="AG44">
        <v>4.76</v>
      </c>
      <c r="AH44">
        <v>1.78</v>
      </c>
      <c r="AI44">
        <v>1.28</v>
      </c>
      <c r="AJ44">
        <v>2.78</v>
      </c>
      <c r="AK44">
        <v>2.81</v>
      </c>
    </row>
    <row r="45" spans="1:37" x14ac:dyDescent="0.25">
      <c r="A45" t="s">
        <v>1</v>
      </c>
      <c r="B45">
        <v>4.18</v>
      </c>
      <c r="C45">
        <v>7.34</v>
      </c>
      <c r="D45">
        <v>6.2</v>
      </c>
      <c r="E45">
        <v>2.21</v>
      </c>
      <c r="F45">
        <v>8.91</v>
      </c>
      <c r="G45">
        <v>2.97</v>
      </c>
      <c r="H45">
        <v>3.47</v>
      </c>
      <c r="I45">
        <v>2.57</v>
      </c>
      <c r="J45">
        <v>5.7</v>
      </c>
      <c r="K45">
        <v>5.81</v>
      </c>
      <c r="L45">
        <v>4</v>
      </c>
      <c r="M45">
        <v>5.57</v>
      </c>
      <c r="N45">
        <v>0.93</v>
      </c>
      <c r="O45">
        <v>4.41</v>
      </c>
      <c r="P45">
        <v>2.06</v>
      </c>
      <c r="Q45">
        <v>4.38</v>
      </c>
      <c r="R45">
        <v>11.5</v>
      </c>
      <c r="S45">
        <v>5.35</v>
      </c>
      <c r="T45">
        <v>7.63</v>
      </c>
      <c r="U45">
        <v>5.0599999999999996</v>
      </c>
      <c r="X45">
        <v>4.7300000000000004</v>
      </c>
      <c r="Y45">
        <v>4.07</v>
      </c>
      <c r="Z45">
        <v>5.32</v>
      </c>
      <c r="AA45">
        <v>2.0099999999999998</v>
      </c>
      <c r="AB45">
        <v>2.56</v>
      </c>
      <c r="AC45">
        <v>0.79</v>
      </c>
      <c r="AD45">
        <v>2.7</v>
      </c>
      <c r="AE45">
        <v>1.57</v>
      </c>
      <c r="AF45">
        <v>2.04</v>
      </c>
      <c r="AG45">
        <v>10.19</v>
      </c>
      <c r="AH45">
        <v>1.55</v>
      </c>
      <c r="AI45">
        <v>6.47</v>
      </c>
      <c r="AJ45">
        <v>3.5</v>
      </c>
      <c r="AK45">
        <v>1.97</v>
      </c>
    </row>
    <row r="46" spans="1:37" x14ac:dyDescent="0.25">
      <c r="A46" t="s">
        <v>2</v>
      </c>
      <c r="B46">
        <v>5.95</v>
      </c>
      <c r="C46">
        <v>5.84</v>
      </c>
      <c r="D46">
        <v>3.95</v>
      </c>
      <c r="E46">
        <v>4.5599999999999996</v>
      </c>
      <c r="F46">
        <v>1.42</v>
      </c>
      <c r="G46">
        <v>7.9</v>
      </c>
      <c r="H46">
        <v>3.57</v>
      </c>
      <c r="I46">
        <v>6.93</v>
      </c>
      <c r="J46">
        <v>2.84</v>
      </c>
      <c r="K46">
        <v>3.53</v>
      </c>
      <c r="L46">
        <v>6.79</v>
      </c>
      <c r="M46">
        <v>5.88</v>
      </c>
      <c r="N46">
        <v>0.77</v>
      </c>
      <c r="O46">
        <v>2.72</v>
      </c>
      <c r="P46">
        <v>2.17</v>
      </c>
      <c r="Q46">
        <v>4.2</v>
      </c>
      <c r="R46">
        <v>6.04</v>
      </c>
      <c r="S46">
        <v>2.1800000000000002</v>
      </c>
      <c r="T46">
        <v>8.4499999999999993</v>
      </c>
      <c r="U46">
        <v>9.57</v>
      </c>
      <c r="X46">
        <v>6.93</v>
      </c>
      <c r="Y46">
        <v>1.07</v>
      </c>
      <c r="Z46">
        <v>8.36</v>
      </c>
      <c r="AA46">
        <v>1.6</v>
      </c>
      <c r="AB46">
        <v>2.76</v>
      </c>
      <c r="AC46">
        <v>1.65</v>
      </c>
      <c r="AD46">
        <v>4.4400000000000004</v>
      </c>
      <c r="AE46">
        <v>1.95</v>
      </c>
      <c r="AF46">
        <v>6</v>
      </c>
      <c r="AG46">
        <v>4.41</v>
      </c>
      <c r="AH46">
        <v>5.13</v>
      </c>
      <c r="AI46">
        <v>9.18</v>
      </c>
      <c r="AJ46">
        <v>3.75</v>
      </c>
      <c r="AK46">
        <v>3.27</v>
      </c>
    </row>
    <row r="47" spans="1:37" x14ac:dyDescent="0.25">
      <c r="A47" t="s">
        <v>3</v>
      </c>
      <c r="B47">
        <v>6.83</v>
      </c>
      <c r="C47">
        <v>3.18</v>
      </c>
      <c r="D47">
        <v>7.52</v>
      </c>
      <c r="E47">
        <v>7.38</v>
      </c>
      <c r="F47">
        <v>8.76</v>
      </c>
      <c r="G47">
        <v>11.41</v>
      </c>
      <c r="H47">
        <v>6.34</v>
      </c>
      <c r="I47">
        <v>2.57</v>
      </c>
      <c r="J47">
        <v>5.91</v>
      </c>
      <c r="K47">
        <v>5.43</v>
      </c>
      <c r="L47">
        <v>2.04</v>
      </c>
      <c r="M47">
        <v>1.52</v>
      </c>
      <c r="N47">
        <v>4.34</v>
      </c>
      <c r="O47">
        <v>2.33</v>
      </c>
      <c r="P47">
        <v>8.2799999999999994</v>
      </c>
      <c r="Q47">
        <v>4.71</v>
      </c>
      <c r="R47">
        <v>2.36</v>
      </c>
      <c r="S47">
        <v>1.51</v>
      </c>
      <c r="T47">
        <v>8.4700000000000006</v>
      </c>
      <c r="U47">
        <v>5.48</v>
      </c>
      <c r="X47">
        <v>6.04</v>
      </c>
      <c r="Y47">
        <v>2.59</v>
      </c>
      <c r="Z47">
        <v>1.47</v>
      </c>
      <c r="AA47">
        <v>3.65</v>
      </c>
      <c r="AB47">
        <v>1.54</v>
      </c>
      <c r="AC47">
        <v>0.86</v>
      </c>
      <c r="AD47">
        <v>1.55</v>
      </c>
      <c r="AE47">
        <v>1.1499999999999999</v>
      </c>
      <c r="AF47">
        <v>2.56</v>
      </c>
      <c r="AG47">
        <v>6.01</v>
      </c>
      <c r="AH47">
        <v>4.33</v>
      </c>
      <c r="AI47">
        <v>4.75</v>
      </c>
      <c r="AJ47">
        <v>1.31</v>
      </c>
      <c r="AK47">
        <v>2.85</v>
      </c>
    </row>
    <row r="48" spans="1:37" x14ac:dyDescent="0.25">
      <c r="A48" t="s">
        <v>4</v>
      </c>
      <c r="B48">
        <v>6.14</v>
      </c>
      <c r="C48">
        <v>1.56</v>
      </c>
      <c r="D48">
        <v>0.64</v>
      </c>
      <c r="E48">
        <v>2.67</v>
      </c>
      <c r="F48">
        <v>5.81</v>
      </c>
      <c r="G48">
        <v>9.5500000000000007</v>
      </c>
      <c r="H48">
        <v>4.21</v>
      </c>
      <c r="I48">
        <v>6.62</v>
      </c>
      <c r="J48">
        <v>3.92</v>
      </c>
      <c r="K48">
        <v>5.12</v>
      </c>
      <c r="L48">
        <v>2.7</v>
      </c>
      <c r="M48">
        <v>5.2</v>
      </c>
      <c r="N48">
        <v>3.65</v>
      </c>
      <c r="O48">
        <v>8.68</v>
      </c>
      <c r="P48">
        <v>2.94</v>
      </c>
      <c r="Q48">
        <v>5.24</v>
      </c>
      <c r="R48">
        <v>1.64</v>
      </c>
      <c r="S48">
        <v>5.3</v>
      </c>
      <c r="T48">
        <v>5.09</v>
      </c>
      <c r="U48">
        <v>2.36</v>
      </c>
      <c r="X48">
        <v>3.01</v>
      </c>
      <c r="Y48">
        <v>5.09</v>
      </c>
      <c r="Z48">
        <v>7.53</v>
      </c>
      <c r="AA48">
        <v>2.92</v>
      </c>
      <c r="AB48">
        <v>4.93</v>
      </c>
      <c r="AC48">
        <v>3.65</v>
      </c>
      <c r="AD48">
        <v>6.54</v>
      </c>
      <c r="AE48">
        <v>4.8099999999999996</v>
      </c>
      <c r="AF48">
        <v>6.93</v>
      </c>
      <c r="AG48">
        <v>2.6</v>
      </c>
      <c r="AH48">
        <v>2.71</v>
      </c>
      <c r="AI48">
        <v>1.58</v>
      </c>
      <c r="AJ48">
        <v>6.02</v>
      </c>
      <c r="AK48">
        <v>1.17</v>
      </c>
    </row>
    <row r="49" spans="1:37" x14ac:dyDescent="0.25">
      <c r="A49" s="1">
        <v>45568</v>
      </c>
    </row>
    <row r="50" spans="1:37" x14ac:dyDescent="0.25">
      <c r="B50" t="s">
        <v>7</v>
      </c>
      <c r="C50" t="s">
        <v>7</v>
      </c>
      <c r="D50" t="s">
        <v>8</v>
      </c>
      <c r="E50" t="s">
        <v>8</v>
      </c>
      <c r="F50" t="s">
        <v>9</v>
      </c>
      <c r="G50" t="s">
        <v>9</v>
      </c>
      <c r="H50" t="s">
        <v>10</v>
      </c>
      <c r="I50" t="s">
        <v>10</v>
      </c>
      <c r="J50" t="s">
        <v>11</v>
      </c>
      <c r="K50" t="s">
        <v>11</v>
      </c>
      <c r="L50" t="s">
        <v>12</v>
      </c>
      <c r="M50" t="s">
        <v>12</v>
      </c>
      <c r="N50" t="s">
        <v>13</v>
      </c>
      <c r="O50" t="s">
        <v>13</v>
      </c>
      <c r="P50" t="s">
        <v>14</v>
      </c>
      <c r="Q50" t="s">
        <v>14</v>
      </c>
      <c r="R50" t="s">
        <v>15</v>
      </c>
      <c r="S50" t="s">
        <v>15</v>
      </c>
      <c r="T50" t="s">
        <v>16</v>
      </c>
      <c r="U50" t="s">
        <v>16</v>
      </c>
      <c r="V50" t="s">
        <v>17</v>
      </c>
      <c r="W50" t="s">
        <v>17</v>
      </c>
      <c r="X50" t="s">
        <v>18</v>
      </c>
      <c r="Y50" t="s">
        <v>18</v>
      </c>
      <c r="Z50" t="s">
        <v>19</v>
      </c>
      <c r="AA50" t="s">
        <v>19</v>
      </c>
      <c r="AB50" t="s">
        <v>20</v>
      </c>
      <c r="AC50" t="s">
        <v>20</v>
      </c>
      <c r="AD50" t="s">
        <v>21</v>
      </c>
      <c r="AE50" t="s">
        <v>21</v>
      </c>
      <c r="AF50" t="s">
        <v>22</v>
      </c>
      <c r="AG50" t="s">
        <v>22</v>
      </c>
      <c r="AH50" t="s">
        <v>23</v>
      </c>
      <c r="AI50" t="s">
        <v>23</v>
      </c>
      <c r="AJ50" t="s">
        <v>24</v>
      </c>
      <c r="AK50" t="s">
        <v>24</v>
      </c>
    </row>
    <row r="51" spans="1:37" x14ac:dyDescent="0.25">
      <c r="B51" t="s">
        <v>5</v>
      </c>
      <c r="C51" t="s">
        <v>6</v>
      </c>
      <c r="D51" t="s">
        <v>5</v>
      </c>
      <c r="E51" t="s">
        <v>6</v>
      </c>
      <c r="F51" t="s">
        <v>5</v>
      </c>
      <c r="G51" t="s">
        <v>6</v>
      </c>
      <c r="H51" t="s">
        <v>5</v>
      </c>
      <c r="I51" t="s">
        <v>6</v>
      </c>
      <c r="J51" t="s">
        <v>5</v>
      </c>
      <c r="K51" t="s">
        <v>6</v>
      </c>
      <c r="L51" t="s">
        <v>5</v>
      </c>
      <c r="M51" t="s">
        <v>6</v>
      </c>
      <c r="N51" t="s">
        <v>5</v>
      </c>
      <c r="O51" t="s">
        <v>6</v>
      </c>
      <c r="P51" t="s">
        <v>5</v>
      </c>
      <c r="Q51" t="s">
        <v>6</v>
      </c>
      <c r="R51" t="s">
        <v>5</v>
      </c>
      <c r="S51" t="s">
        <v>6</v>
      </c>
      <c r="T51" t="s">
        <v>5</v>
      </c>
      <c r="U51" t="s">
        <v>6</v>
      </c>
      <c r="V51" t="s">
        <v>5</v>
      </c>
      <c r="W51" t="s">
        <v>6</v>
      </c>
      <c r="X51" t="s">
        <v>5</v>
      </c>
      <c r="Y51" t="s">
        <v>6</v>
      </c>
      <c r="Z51" t="s">
        <v>5</v>
      </c>
      <c r="AA51" t="s">
        <v>6</v>
      </c>
      <c r="AB51" t="s">
        <v>5</v>
      </c>
      <c r="AC51" t="s">
        <v>6</v>
      </c>
      <c r="AD51" t="s">
        <v>5</v>
      </c>
      <c r="AE51" t="s">
        <v>6</v>
      </c>
      <c r="AF51" t="s">
        <v>5</v>
      </c>
      <c r="AG51" t="s">
        <v>6</v>
      </c>
      <c r="AH51" t="s">
        <v>5</v>
      </c>
      <c r="AI51" t="s">
        <v>6</v>
      </c>
      <c r="AJ51" t="s">
        <v>5</v>
      </c>
      <c r="AK51" t="s">
        <v>6</v>
      </c>
    </row>
    <row r="52" spans="1:37" x14ac:dyDescent="0.25">
      <c r="A52" t="s">
        <v>0</v>
      </c>
      <c r="B52">
        <v>7.33</v>
      </c>
      <c r="C52">
        <v>5.23</v>
      </c>
      <c r="D52">
        <v>5.72</v>
      </c>
      <c r="E52">
        <v>4.7</v>
      </c>
      <c r="F52">
        <v>5.27</v>
      </c>
      <c r="G52">
        <v>4.1399999999999997</v>
      </c>
      <c r="H52">
        <v>5.15</v>
      </c>
      <c r="I52">
        <v>14.45</v>
      </c>
      <c r="J52">
        <v>4.82</v>
      </c>
      <c r="K52">
        <v>11.94</v>
      </c>
      <c r="L52">
        <v>0.27</v>
      </c>
      <c r="M52">
        <v>1.67</v>
      </c>
      <c r="N52">
        <v>5.89</v>
      </c>
      <c r="O52">
        <v>3.27</v>
      </c>
      <c r="P52">
        <v>5.7</v>
      </c>
      <c r="Q52">
        <v>2.5299999999999998</v>
      </c>
      <c r="R52">
        <v>2.2799999999999998</v>
      </c>
      <c r="S52">
        <v>3.74</v>
      </c>
      <c r="T52">
        <v>5.04</v>
      </c>
      <c r="U52">
        <v>2.5299999999999998</v>
      </c>
      <c r="X52">
        <v>2.93</v>
      </c>
      <c r="Y52">
        <v>5.38</v>
      </c>
      <c r="Z52">
        <v>1.82</v>
      </c>
      <c r="AA52">
        <v>3.23</v>
      </c>
      <c r="AB52">
        <v>3.68</v>
      </c>
      <c r="AC52">
        <v>5.37</v>
      </c>
      <c r="AD52">
        <v>6.73</v>
      </c>
      <c r="AE52">
        <v>4.42</v>
      </c>
      <c r="AF52">
        <v>1.08</v>
      </c>
      <c r="AG52">
        <v>1.26</v>
      </c>
      <c r="AH52">
        <v>2.52</v>
      </c>
      <c r="AI52">
        <v>1.93</v>
      </c>
      <c r="AJ52">
        <v>2.5299999999999998</v>
      </c>
      <c r="AK52">
        <v>1.46</v>
      </c>
    </row>
    <row r="53" spans="1:37" x14ac:dyDescent="0.25">
      <c r="A53" t="s">
        <v>1</v>
      </c>
      <c r="B53">
        <v>7.06</v>
      </c>
      <c r="C53">
        <v>2.73</v>
      </c>
      <c r="D53">
        <v>4.4800000000000004</v>
      </c>
      <c r="E53">
        <v>1.49</v>
      </c>
      <c r="F53">
        <v>7.84</v>
      </c>
      <c r="G53">
        <v>5.23</v>
      </c>
      <c r="H53">
        <v>5.45</v>
      </c>
      <c r="I53">
        <v>1.81</v>
      </c>
      <c r="J53">
        <v>9.35</v>
      </c>
      <c r="K53">
        <v>3.58</v>
      </c>
      <c r="L53">
        <v>1.68</v>
      </c>
      <c r="M53">
        <v>1.93</v>
      </c>
      <c r="N53">
        <v>9.6199999999999992</v>
      </c>
      <c r="O53">
        <v>2.65</v>
      </c>
      <c r="P53">
        <v>6.95</v>
      </c>
      <c r="Q53">
        <v>3.36</v>
      </c>
      <c r="R53">
        <v>7.16</v>
      </c>
      <c r="S53">
        <v>2.4</v>
      </c>
      <c r="T53">
        <v>2.99</v>
      </c>
      <c r="U53">
        <v>5.04</v>
      </c>
      <c r="X53">
        <v>2.79</v>
      </c>
      <c r="Y53">
        <v>1.54</v>
      </c>
      <c r="Z53">
        <v>2.09</v>
      </c>
      <c r="AA53">
        <v>3.85</v>
      </c>
      <c r="AB53">
        <v>3.8</v>
      </c>
      <c r="AC53">
        <v>4.47</v>
      </c>
      <c r="AD53">
        <v>2.0299999999999998</v>
      </c>
      <c r="AE53">
        <v>2.87</v>
      </c>
      <c r="AF53">
        <v>4.4800000000000004</v>
      </c>
      <c r="AG53">
        <v>1.77</v>
      </c>
      <c r="AH53">
        <v>3.86</v>
      </c>
      <c r="AI53">
        <v>3.23</v>
      </c>
      <c r="AJ53">
        <v>6.91</v>
      </c>
      <c r="AK53">
        <v>6.85</v>
      </c>
    </row>
    <row r="54" spans="1:37" x14ac:dyDescent="0.25">
      <c r="A54" t="s">
        <v>2</v>
      </c>
      <c r="B54">
        <v>2.72</v>
      </c>
      <c r="C54">
        <v>3.67</v>
      </c>
      <c r="D54">
        <v>1.53</v>
      </c>
      <c r="E54">
        <v>7.39</v>
      </c>
      <c r="F54">
        <v>2.57</v>
      </c>
      <c r="G54">
        <v>5.32</v>
      </c>
      <c r="H54">
        <v>9.32</v>
      </c>
      <c r="I54">
        <v>2.56</v>
      </c>
      <c r="J54">
        <v>2.8</v>
      </c>
      <c r="K54">
        <v>6.84</v>
      </c>
      <c r="L54">
        <v>5.63</v>
      </c>
      <c r="M54">
        <v>2.96</v>
      </c>
      <c r="N54">
        <v>3.82</v>
      </c>
      <c r="O54">
        <v>1.61</v>
      </c>
      <c r="P54">
        <v>2.2599999999999998</v>
      </c>
      <c r="Q54">
        <v>5.41</v>
      </c>
      <c r="R54">
        <v>5.74</v>
      </c>
      <c r="S54">
        <v>6.19</v>
      </c>
      <c r="T54">
        <v>11.04</v>
      </c>
      <c r="U54">
        <v>10.37</v>
      </c>
      <c r="X54">
        <v>1.24</v>
      </c>
      <c r="Y54">
        <v>5.79</v>
      </c>
      <c r="Z54">
        <v>7.12</v>
      </c>
      <c r="AA54">
        <v>5.61</v>
      </c>
      <c r="AB54">
        <v>4.08</v>
      </c>
      <c r="AC54">
        <v>5.52</v>
      </c>
      <c r="AD54">
        <v>5.98</v>
      </c>
      <c r="AE54">
        <v>3.62</v>
      </c>
      <c r="AF54">
        <v>4.58</v>
      </c>
      <c r="AG54">
        <v>5.18</v>
      </c>
      <c r="AH54">
        <v>2.5</v>
      </c>
      <c r="AI54">
        <v>6.98</v>
      </c>
      <c r="AJ54">
        <v>4.71</v>
      </c>
      <c r="AK54">
        <v>2.12</v>
      </c>
    </row>
    <row r="55" spans="1:37" x14ac:dyDescent="0.25">
      <c r="A55" t="s">
        <v>3</v>
      </c>
      <c r="B55">
        <v>10.27</v>
      </c>
      <c r="C55">
        <v>9.57</v>
      </c>
      <c r="D55">
        <v>3.22</v>
      </c>
      <c r="E55">
        <v>4.67</v>
      </c>
      <c r="F55">
        <v>5.77</v>
      </c>
      <c r="G55">
        <v>2.88</v>
      </c>
      <c r="H55">
        <v>7.23</v>
      </c>
      <c r="I55">
        <v>12.1</v>
      </c>
      <c r="J55">
        <v>2.13</v>
      </c>
      <c r="K55">
        <v>9.73</v>
      </c>
      <c r="L55">
        <v>2.92</v>
      </c>
      <c r="M55">
        <v>2.82</v>
      </c>
      <c r="N55">
        <v>2.09</v>
      </c>
      <c r="O55">
        <v>1.83</v>
      </c>
      <c r="P55">
        <v>6.13</v>
      </c>
      <c r="Q55">
        <v>7.97</v>
      </c>
      <c r="R55">
        <v>1.23</v>
      </c>
      <c r="S55">
        <v>2.62</v>
      </c>
      <c r="T55">
        <v>11.29</v>
      </c>
      <c r="U55">
        <v>6.43</v>
      </c>
      <c r="X55">
        <v>9.02</v>
      </c>
      <c r="Y55">
        <v>1.39</v>
      </c>
      <c r="Z55">
        <v>3.12</v>
      </c>
      <c r="AA55">
        <v>8.26</v>
      </c>
      <c r="AB55">
        <v>2.2400000000000002</v>
      </c>
      <c r="AC55">
        <v>3.96</v>
      </c>
      <c r="AD55">
        <v>3.29</v>
      </c>
      <c r="AE55">
        <v>7.95</v>
      </c>
      <c r="AF55">
        <v>5.66</v>
      </c>
      <c r="AG55">
        <v>4.68</v>
      </c>
      <c r="AH55">
        <v>7.77</v>
      </c>
      <c r="AI55">
        <v>4.3499999999999996</v>
      </c>
      <c r="AJ55">
        <v>2.2799999999999998</v>
      </c>
      <c r="AK55">
        <v>5.0599999999999996</v>
      </c>
    </row>
    <row r="56" spans="1:37" x14ac:dyDescent="0.25">
      <c r="A56" t="s">
        <v>4</v>
      </c>
      <c r="B56">
        <v>4.8</v>
      </c>
      <c r="C56">
        <v>9.3699999999999992</v>
      </c>
      <c r="D56">
        <v>4.57</v>
      </c>
      <c r="E56">
        <v>5.79</v>
      </c>
      <c r="F56">
        <v>6.84</v>
      </c>
      <c r="G56">
        <v>1.06</v>
      </c>
      <c r="H56">
        <v>9.24</v>
      </c>
      <c r="I56">
        <v>9.51</v>
      </c>
      <c r="J56">
        <v>4.2</v>
      </c>
      <c r="K56">
        <v>2.4</v>
      </c>
      <c r="L56">
        <v>2.4500000000000002</v>
      </c>
      <c r="M56">
        <v>4.9400000000000004</v>
      </c>
      <c r="N56">
        <v>3.45</v>
      </c>
      <c r="O56">
        <v>2.12</v>
      </c>
      <c r="P56">
        <v>5.8</v>
      </c>
      <c r="Q56">
        <v>8.8800000000000008</v>
      </c>
      <c r="R56">
        <v>4</v>
      </c>
      <c r="S56">
        <v>2.0299999999999998</v>
      </c>
      <c r="T56">
        <v>10.48</v>
      </c>
      <c r="U56">
        <v>12.22</v>
      </c>
      <c r="X56">
        <v>1.18</v>
      </c>
      <c r="Y56">
        <v>2.62</v>
      </c>
      <c r="Z56">
        <v>1.34</v>
      </c>
      <c r="AA56">
        <v>4</v>
      </c>
      <c r="AB56">
        <v>6.56</v>
      </c>
      <c r="AC56">
        <v>1.37</v>
      </c>
      <c r="AD56">
        <v>4.09</v>
      </c>
      <c r="AE56">
        <v>7.24</v>
      </c>
      <c r="AF56">
        <v>7.75</v>
      </c>
      <c r="AG56">
        <v>4.42</v>
      </c>
      <c r="AH56">
        <v>4.46</v>
      </c>
      <c r="AI56">
        <v>4.79</v>
      </c>
      <c r="AJ56">
        <v>3.99</v>
      </c>
      <c r="AK56">
        <v>1.79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2D88-C65F-447D-A312-A4D284F896BC}">
  <dimension ref="A1:E19"/>
  <sheetViews>
    <sheetView workbookViewId="0">
      <selection activeCell="G14" sqref="G14"/>
    </sheetView>
  </sheetViews>
  <sheetFormatPr defaultRowHeight="15" x14ac:dyDescent="0.25"/>
  <cols>
    <col min="1" max="1" width="14.5703125" bestFit="1" customWidth="1"/>
    <col min="4" max="4" width="15" bestFit="1" customWidth="1"/>
  </cols>
  <sheetData>
    <row r="1" spans="1:5" x14ac:dyDescent="0.25">
      <c r="A1" t="s">
        <v>25</v>
      </c>
      <c r="B1" t="s">
        <v>32</v>
      </c>
      <c r="C1" t="s">
        <v>26</v>
      </c>
      <c r="D1" t="s">
        <v>28</v>
      </c>
      <c r="E1" t="s">
        <v>27</v>
      </c>
    </row>
    <row r="2" spans="1:5" x14ac:dyDescent="0.25">
      <c r="A2">
        <v>1</v>
      </c>
      <c r="B2" t="s">
        <v>7</v>
      </c>
      <c r="C2" t="s">
        <v>29</v>
      </c>
      <c r="D2" t="s">
        <v>31</v>
      </c>
      <c r="E2" s="1">
        <v>45505</v>
      </c>
    </row>
    <row r="3" spans="1:5" x14ac:dyDescent="0.25">
      <c r="A3">
        <v>2</v>
      </c>
      <c r="B3" t="s">
        <v>8</v>
      </c>
      <c r="C3" t="s">
        <v>29</v>
      </c>
      <c r="D3" t="s">
        <v>31</v>
      </c>
      <c r="E3" s="1">
        <v>45505</v>
      </c>
    </row>
    <row r="4" spans="1:5" x14ac:dyDescent="0.25">
      <c r="A4">
        <v>3</v>
      </c>
      <c r="B4" t="s">
        <v>9</v>
      </c>
      <c r="C4" t="s">
        <v>29</v>
      </c>
      <c r="D4" t="s">
        <v>31</v>
      </c>
      <c r="E4" s="1">
        <v>45505</v>
      </c>
    </row>
    <row r="5" spans="1:5" x14ac:dyDescent="0.25">
      <c r="A5">
        <v>4</v>
      </c>
      <c r="B5" t="s">
        <v>10</v>
      </c>
      <c r="C5" t="s">
        <v>29</v>
      </c>
      <c r="D5" t="s">
        <v>31</v>
      </c>
      <c r="E5" s="1">
        <v>45505</v>
      </c>
    </row>
    <row r="6" spans="1:5" x14ac:dyDescent="0.25">
      <c r="A6">
        <v>5</v>
      </c>
      <c r="B6" t="s">
        <v>11</v>
      </c>
      <c r="C6" t="s">
        <v>29</v>
      </c>
      <c r="D6" t="s">
        <v>31</v>
      </c>
      <c r="E6" s="1">
        <v>45505</v>
      </c>
    </row>
    <row r="7" spans="1:5" x14ac:dyDescent="0.25">
      <c r="A7">
        <v>6</v>
      </c>
      <c r="B7" t="s">
        <v>12</v>
      </c>
      <c r="C7" t="s">
        <v>29</v>
      </c>
      <c r="D7" t="s">
        <v>31</v>
      </c>
      <c r="E7" s="1">
        <v>45505</v>
      </c>
    </row>
    <row r="8" spans="1:5" x14ac:dyDescent="0.25">
      <c r="A8">
        <v>7</v>
      </c>
      <c r="B8" t="s">
        <v>13</v>
      </c>
      <c r="C8" t="s">
        <v>29</v>
      </c>
      <c r="D8" t="s">
        <v>31</v>
      </c>
      <c r="E8" s="1">
        <v>45505</v>
      </c>
    </row>
    <row r="9" spans="1:5" x14ac:dyDescent="0.25">
      <c r="A9">
        <v>8</v>
      </c>
      <c r="B9" t="s">
        <v>14</v>
      </c>
      <c r="C9" t="s">
        <v>29</v>
      </c>
      <c r="D9" t="s">
        <v>31</v>
      </c>
      <c r="E9" s="1">
        <v>45505</v>
      </c>
    </row>
    <row r="10" spans="1:5" x14ac:dyDescent="0.25">
      <c r="A10">
        <v>9</v>
      </c>
      <c r="B10" t="s">
        <v>15</v>
      </c>
      <c r="C10" t="s">
        <v>29</v>
      </c>
      <c r="D10" t="s">
        <v>31</v>
      </c>
      <c r="E10" s="1">
        <v>45505</v>
      </c>
    </row>
    <row r="11" spans="1:5" x14ac:dyDescent="0.25">
      <c r="A11">
        <v>10</v>
      </c>
      <c r="B11" t="s">
        <v>16</v>
      </c>
      <c r="C11" t="s">
        <v>29</v>
      </c>
      <c r="D11" t="s">
        <v>31</v>
      </c>
      <c r="E11" s="1">
        <v>45505</v>
      </c>
    </row>
    <row r="12" spans="1:5" x14ac:dyDescent="0.25">
      <c r="A12">
        <v>11</v>
      </c>
      <c r="B12" t="s">
        <v>17</v>
      </c>
      <c r="C12" t="s">
        <v>30</v>
      </c>
      <c r="D12" t="s">
        <v>31</v>
      </c>
      <c r="E12" s="1">
        <v>45505</v>
      </c>
    </row>
    <row r="13" spans="1:5" x14ac:dyDescent="0.25">
      <c r="A13">
        <v>12</v>
      </c>
      <c r="B13" t="s">
        <v>18</v>
      </c>
      <c r="C13" t="s">
        <v>30</v>
      </c>
      <c r="D13" t="s">
        <v>31</v>
      </c>
      <c r="E13" s="1">
        <v>45505</v>
      </c>
    </row>
    <row r="14" spans="1:5" x14ac:dyDescent="0.25">
      <c r="A14">
        <v>13</v>
      </c>
      <c r="B14" t="s">
        <v>19</v>
      </c>
      <c r="C14" t="s">
        <v>30</v>
      </c>
      <c r="D14" t="s">
        <v>31</v>
      </c>
      <c r="E14" s="1">
        <v>45505</v>
      </c>
    </row>
    <row r="15" spans="1:5" x14ac:dyDescent="0.25">
      <c r="A15">
        <v>14</v>
      </c>
      <c r="B15" t="s">
        <v>20</v>
      </c>
      <c r="C15" t="s">
        <v>30</v>
      </c>
      <c r="D15" t="s">
        <v>31</v>
      </c>
      <c r="E15" s="1">
        <v>45505</v>
      </c>
    </row>
    <row r="16" spans="1:5" x14ac:dyDescent="0.25">
      <c r="A16">
        <v>15</v>
      </c>
      <c r="B16" t="s">
        <v>21</v>
      </c>
      <c r="C16" t="s">
        <v>30</v>
      </c>
      <c r="D16" t="s">
        <v>31</v>
      </c>
      <c r="E16" s="1">
        <v>45505</v>
      </c>
    </row>
    <row r="17" spans="1:5" x14ac:dyDescent="0.25">
      <c r="A17">
        <v>16</v>
      </c>
      <c r="B17" t="s">
        <v>22</v>
      </c>
      <c r="C17" t="s">
        <v>30</v>
      </c>
      <c r="D17" t="s">
        <v>31</v>
      </c>
      <c r="E17" s="1">
        <v>45505</v>
      </c>
    </row>
    <row r="18" spans="1:5" x14ac:dyDescent="0.25">
      <c r="A18">
        <v>17</v>
      </c>
      <c r="B18" t="s">
        <v>23</v>
      </c>
      <c r="C18" t="s">
        <v>30</v>
      </c>
      <c r="D18" t="s">
        <v>31</v>
      </c>
      <c r="E18" s="1">
        <v>45505</v>
      </c>
    </row>
    <row r="19" spans="1:5" x14ac:dyDescent="0.25">
      <c r="A19">
        <v>18</v>
      </c>
      <c r="B19" t="s">
        <v>24</v>
      </c>
      <c r="C19" t="s">
        <v>30</v>
      </c>
      <c r="D19" t="s">
        <v>31</v>
      </c>
      <c r="E19" s="1">
        <v>45505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FormatForAnalysis</vt:lpstr>
      <vt:lpstr>FormatForPython</vt:lpstr>
      <vt:lpstr>SubjectInfo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Goff, Jeff</dc:creator>
  <cp:lastModifiedBy>meaghan creed</cp:lastModifiedBy>
  <dcterms:created xsi:type="dcterms:W3CDTF">2024-09-10T15:42:06Z</dcterms:created>
  <dcterms:modified xsi:type="dcterms:W3CDTF">2024-11-10T04:00:18Z</dcterms:modified>
</cp:coreProperties>
</file>