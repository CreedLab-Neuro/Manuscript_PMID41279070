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agh\Box\CreedLabBoxDrive\Jeremy\SNI_Dopamine_Paper\Figure1_SNIBehavior\FED_PR\Chronic\YHC\"/>
    </mc:Choice>
  </mc:AlternateContent>
  <xr:revisionPtr revIDLastSave="0" documentId="8_{A6F6DE90-A9B0-4C9E-B516-A091C28AC272}" xr6:coauthVersionLast="47" xr6:coauthVersionMax="47" xr10:uidLastSave="{00000000-0000-0000-0000-000000000000}"/>
  <bookViews>
    <workbookView xWindow="-110" yWindow="-110" windowWidth="19420" windowHeight="10300" xr2:uid="{4CF592B2-0F57-3B47-B1DE-36865F23D4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" i="1" l="1"/>
  <c r="M7" i="1"/>
  <c r="M8" i="1"/>
  <c r="M6" i="1"/>
  <c r="M5" i="1"/>
  <c r="M35" i="1"/>
  <c r="M34" i="1"/>
  <c r="M24" i="1"/>
  <c r="M25" i="1"/>
  <c r="M26" i="1"/>
  <c r="M23" i="1"/>
  <c r="M13" i="1"/>
  <c r="M14" i="1"/>
  <c r="M15" i="1"/>
  <c r="M16" i="1"/>
  <c r="M17" i="1"/>
  <c r="M12" i="1"/>
  <c r="O8" i="1"/>
  <c r="O7" i="1"/>
  <c r="O6" i="1"/>
  <c r="O5" i="1"/>
  <c r="O17" i="1"/>
  <c r="O16" i="1"/>
  <c r="O15" i="1"/>
  <c r="O14" i="1"/>
  <c r="O13" i="1"/>
  <c r="O12" i="1"/>
  <c r="O11" i="1"/>
  <c r="O10" i="1"/>
  <c r="O9" i="1"/>
  <c r="O4" i="1"/>
  <c r="O3" i="1"/>
  <c r="O2" i="1"/>
  <c r="L42" i="1"/>
  <c r="L41" i="1"/>
  <c r="L40" i="1"/>
  <c r="L39" i="1"/>
  <c r="L38" i="1"/>
  <c r="L37" i="1"/>
  <c r="P35" i="1"/>
  <c r="O35" i="1"/>
  <c r="L35" i="1"/>
  <c r="P34" i="1"/>
  <c r="O34" i="1"/>
  <c r="L34" i="1"/>
  <c r="P33" i="1"/>
  <c r="O33" i="1"/>
  <c r="L33" i="1"/>
  <c r="P32" i="1"/>
  <c r="O32" i="1"/>
  <c r="L32" i="1"/>
  <c r="P31" i="1"/>
  <c r="O31" i="1"/>
  <c r="L31" i="1"/>
  <c r="P30" i="1"/>
  <c r="O30" i="1"/>
  <c r="L30" i="1"/>
  <c r="P29" i="1"/>
  <c r="O29" i="1"/>
  <c r="L29" i="1"/>
  <c r="P28" i="1"/>
  <c r="O28" i="1"/>
  <c r="L28" i="1"/>
  <c r="P26" i="1"/>
  <c r="O26" i="1"/>
  <c r="L26" i="1"/>
  <c r="P25" i="1"/>
  <c r="O25" i="1"/>
  <c r="L25" i="1"/>
  <c r="P24" i="1"/>
  <c r="O24" i="1"/>
  <c r="L24" i="1"/>
  <c r="P23" i="1"/>
  <c r="O23" i="1"/>
  <c r="L23" i="1"/>
  <c r="P22" i="1"/>
  <c r="O22" i="1"/>
  <c r="L22" i="1"/>
  <c r="P21" i="1"/>
  <c r="O21" i="1"/>
  <c r="L21" i="1"/>
  <c r="P20" i="1"/>
  <c r="O20" i="1"/>
  <c r="L20" i="1"/>
  <c r="O19" i="1"/>
  <c r="L19" i="1"/>
</calcChain>
</file>

<file path=xl/sharedStrings.xml><?xml version="1.0" encoding="utf-8"?>
<sst xmlns="http://schemas.openxmlformats.org/spreadsheetml/2006/main" count="349" uniqueCount="82">
  <si>
    <t>d1tomC155M1</t>
  </si>
  <si>
    <t>rPR (SNI)</t>
  </si>
  <si>
    <t>M</t>
  </si>
  <si>
    <t>Behavior</t>
  </si>
  <si>
    <t>rPR_SNI</t>
  </si>
  <si>
    <t>Ctrl</t>
  </si>
  <si>
    <t>d1tomC155M2</t>
  </si>
  <si>
    <t>d1tomC155M3</t>
  </si>
  <si>
    <t>d1tomC155M4</t>
  </si>
  <si>
    <t>vglutcreC141M2</t>
  </si>
  <si>
    <t>SNI</t>
  </si>
  <si>
    <t>vglutcreC141M3</t>
  </si>
  <si>
    <t>vglutcreC141M4</t>
  </si>
  <si>
    <t>vglutcreC141M5</t>
  </si>
  <si>
    <t>d1tomc173f1</t>
  </si>
  <si>
    <t>F</t>
  </si>
  <si>
    <t>d1tomc173f2</t>
  </si>
  <si>
    <t>d1tomc173f3</t>
  </si>
  <si>
    <t>d1tomc173f4</t>
  </si>
  <si>
    <t>d1tomC155M5</t>
  </si>
  <si>
    <t>d1tomC161M4</t>
  </si>
  <si>
    <t>d1tomC163M4</t>
  </si>
  <si>
    <t>d1tomC166M2</t>
  </si>
  <si>
    <t>d1tomc168m1</t>
  </si>
  <si>
    <t>d1tomc168m2</t>
  </si>
  <si>
    <t>d1tomc163m3</t>
  </si>
  <si>
    <t>d1tomc172m4</t>
  </si>
  <si>
    <t>d1tomc173f5</t>
  </si>
  <si>
    <t>datcrec96f1</t>
  </si>
  <si>
    <t>Mice ID</t>
  </si>
  <si>
    <t>Cohort</t>
  </si>
  <si>
    <t>DoB</t>
  </si>
  <si>
    <t>Sex</t>
  </si>
  <si>
    <t>Experiment Type</t>
  </si>
  <si>
    <t>Experiment Description</t>
  </si>
  <si>
    <t>Group</t>
  </si>
  <si>
    <t>Surgery Type</t>
  </si>
  <si>
    <t>Surgery Date</t>
  </si>
  <si>
    <t>Planned experimenting day</t>
  </si>
  <si>
    <t>Age (when exp ideally starts)</t>
  </si>
  <si>
    <t>Duration (SNI; when exp ideally starts)</t>
  </si>
  <si>
    <t>Experiment Start Date</t>
  </si>
  <si>
    <t>Age (When Experiment Started)</t>
  </si>
  <si>
    <t>Duration (When Experiment Started)</t>
  </si>
  <si>
    <t>d1tomc55f2</t>
  </si>
  <si>
    <t>CE1r</t>
  </si>
  <si>
    <t>d1tomc44f5</t>
  </si>
  <si>
    <t>d1tomc44f2</t>
  </si>
  <si>
    <t>d1tomc58f1</t>
  </si>
  <si>
    <t>CE3</t>
  </si>
  <si>
    <t>d1tomc58f2</t>
  </si>
  <si>
    <t>d1tomc58f4</t>
  </si>
  <si>
    <t>d1tomc55f6</t>
  </si>
  <si>
    <t>CE2</t>
  </si>
  <si>
    <t>d1tomc55f1</t>
  </si>
  <si>
    <t>enkcrec31m3</t>
  </si>
  <si>
    <t>enkcrec31m2</t>
  </si>
  <si>
    <t>CE3r</t>
  </si>
  <si>
    <t>d1tomc57f2</t>
  </si>
  <si>
    <t>CE4</t>
  </si>
  <si>
    <t>d1tomc57f3</t>
  </si>
  <si>
    <t>d1tomc57f4</t>
  </si>
  <si>
    <t>Excluded (Weight dropped below 15% initial weight. Even given chow or replaced on FR1 wouldn't help)</t>
  </si>
  <si>
    <t>FR1 training</t>
  </si>
  <si>
    <t>Note</t>
  </si>
  <si>
    <t>Group (file missing)</t>
  </si>
  <si>
    <t>Individual</t>
  </si>
  <si>
    <t>FED#</t>
  </si>
  <si>
    <t>Excluded (same mice as CE3)</t>
  </si>
  <si>
    <t>FED1</t>
  </si>
  <si>
    <t>FED2</t>
  </si>
  <si>
    <t>FED3</t>
  </si>
  <si>
    <t>FED4</t>
  </si>
  <si>
    <t>FED5</t>
  </si>
  <si>
    <t>FED6</t>
  </si>
  <si>
    <t>FED7</t>
  </si>
  <si>
    <t>FED8</t>
  </si>
  <si>
    <t>FED001</t>
  </si>
  <si>
    <t>FED004</t>
  </si>
  <si>
    <t>FED005</t>
  </si>
  <si>
    <t>FED006</t>
  </si>
  <si>
    <t>FED003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</si>
</sst>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8"/>
      <name val="Aptos Narrow"/>
      <family val="2"/>
      <scheme val="minor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/>
    <xf numFmtId="49" fontId="1" fillId="0" borderId="0" xfId="0" applyNumberFormat="1" applyFont="1"/>
    <xf numFmtId="0" fontId="1" fillId="2" borderId="0" xfId="0" applyFont="1" applyFill="1"/>
    <xf numFmtId="14" fontId="1" fillId="2" borderId="0" xfId="0" applyNumberFormat="1" applyFont="1" applyFill="1"/>
    <xf numFmtId="49" fontId="1" fillId="2" borderId="0" xfId="0" applyNumberFormat="1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5B2FB-18B1-3343-A871-88669099D06B}">
  <dimension ref="A1:W42"/>
  <sheetViews>
    <sheetView tabSelected="1" topLeftCell="A27" zoomScale="74" workbookViewId="0">
      <selection activeCell="C46" sqref="C46"/>
    </sheetView>
  </sheetViews>
  <sheetFormatPr defaultColWidth="10.83203125" defaultRowHeight="15.5" x14ac:dyDescent="0.35"/>
  <cols>
    <col min="1" max="1" width="16.33203125" style="1" bestFit="1" customWidth="1"/>
    <col min="2" max="22" width="10.83203125" style="1"/>
    <col min="23" max="23" width="14" style="1" bestFit="1" customWidth="1"/>
    <col min="24" max="16384" width="10.83203125" style="1"/>
  </cols>
  <sheetData>
    <row r="1" spans="1:23" x14ac:dyDescent="0.35">
      <c r="A1" s="1" t="s">
        <v>29</v>
      </c>
      <c r="B1" s="1" t="s">
        <v>30</v>
      </c>
      <c r="C1" s="1" t="s">
        <v>67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63</v>
      </c>
      <c r="R1" s="1" t="s">
        <v>64</v>
      </c>
    </row>
    <row r="2" spans="1:23" s="4" customFormat="1" x14ac:dyDescent="0.35">
      <c r="A2" s="4" t="s">
        <v>44</v>
      </c>
      <c r="B2" s="4" t="s">
        <v>45</v>
      </c>
      <c r="C2" s="4" t="s">
        <v>77</v>
      </c>
      <c r="D2" s="5">
        <v>44155</v>
      </c>
      <c r="E2" s="4" t="s">
        <v>15</v>
      </c>
      <c r="F2" s="4" t="s">
        <v>3</v>
      </c>
      <c r="G2" s="4" t="s">
        <v>4</v>
      </c>
      <c r="H2" s="4" t="s">
        <v>5</v>
      </c>
      <c r="K2" s="6"/>
      <c r="N2" s="5">
        <v>44235</v>
      </c>
      <c r="O2" s="4">
        <f t="shared" ref="O2:O17" si="0">ROUND((N2-D2)/7, 2)</f>
        <v>11.43</v>
      </c>
      <c r="Q2" s="4" t="s">
        <v>35</v>
      </c>
    </row>
    <row r="3" spans="1:23" s="4" customFormat="1" x14ac:dyDescent="0.35">
      <c r="A3" s="4" t="s">
        <v>46</v>
      </c>
      <c r="B3" s="4" t="s">
        <v>45</v>
      </c>
      <c r="C3" s="4" t="s">
        <v>78</v>
      </c>
      <c r="D3" s="5">
        <v>44048</v>
      </c>
      <c r="E3" s="4" t="s">
        <v>15</v>
      </c>
      <c r="F3" s="4" t="s">
        <v>3</v>
      </c>
      <c r="G3" s="4" t="s">
        <v>4</v>
      </c>
      <c r="H3" s="4" t="s">
        <v>10</v>
      </c>
      <c r="I3" s="4" t="s">
        <v>10</v>
      </c>
      <c r="K3" s="6"/>
      <c r="N3" s="5">
        <v>44235</v>
      </c>
      <c r="O3" s="4">
        <f t="shared" si="0"/>
        <v>26.71</v>
      </c>
      <c r="Q3" s="4" t="s">
        <v>35</v>
      </c>
      <c r="T3" s="4" t="s">
        <v>5</v>
      </c>
      <c r="U3" s="4" t="s">
        <v>10</v>
      </c>
      <c r="W3" s="7"/>
    </row>
    <row r="4" spans="1:23" s="4" customFormat="1" x14ac:dyDescent="0.35">
      <c r="A4" s="4" t="s">
        <v>47</v>
      </c>
      <c r="B4" s="4" t="s">
        <v>45</v>
      </c>
      <c r="C4" s="4" t="s">
        <v>79</v>
      </c>
      <c r="D4" s="5">
        <v>44048</v>
      </c>
      <c r="E4" s="4" t="s">
        <v>15</v>
      </c>
      <c r="F4" s="4" t="s">
        <v>3</v>
      </c>
      <c r="G4" s="4" t="s">
        <v>4</v>
      </c>
      <c r="H4" s="4" t="s">
        <v>10</v>
      </c>
      <c r="I4" s="4" t="s">
        <v>10</v>
      </c>
      <c r="K4" s="6"/>
      <c r="N4" s="5">
        <v>44235</v>
      </c>
      <c r="O4" s="4">
        <f t="shared" si="0"/>
        <v>26.71</v>
      </c>
      <c r="Q4" s="4" t="s">
        <v>35</v>
      </c>
      <c r="S4" s="4" t="s">
        <v>15</v>
      </c>
      <c r="T4" s="4">
        <v>10</v>
      </c>
      <c r="U4" s="4">
        <v>7</v>
      </c>
      <c r="W4" s="7"/>
    </row>
    <row r="5" spans="1:23" s="4" customFormat="1" x14ac:dyDescent="0.35">
      <c r="A5" s="4" t="s">
        <v>52</v>
      </c>
      <c r="B5" s="4" t="s">
        <v>53</v>
      </c>
      <c r="C5" s="4" t="s">
        <v>78</v>
      </c>
      <c r="D5" s="5">
        <v>44155</v>
      </c>
      <c r="E5" s="4" t="s">
        <v>15</v>
      </c>
      <c r="F5" s="4" t="s">
        <v>3</v>
      </c>
      <c r="G5" s="4" t="s">
        <v>4</v>
      </c>
      <c r="H5" s="4" t="s">
        <v>10</v>
      </c>
      <c r="I5" s="4" t="s">
        <v>10</v>
      </c>
      <c r="J5" s="5">
        <v>44182</v>
      </c>
      <c r="K5" s="5">
        <v>44228</v>
      </c>
      <c r="M5" s="4">
        <f t="shared" ref="M5:M8" si="1">ROUND((K5-J5)/7, 0)</f>
        <v>7</v>
      </c>
      <c r="N5" s="5">
        <v>44228</v>
      </c>
      <c r="O5" s="4">
        <f t="shared" si="0"/>
        <v>10.43</v>
      </c>
      <c r="Q5" s="4" t="s">
        <v>35</v>
      </c>
      <c r="S5" s="4" t="s">
        <v>2</v>
      </c>
      <c r="T5" s="4">
        <v>8</v>
      </c>
      <c r="U5" s="4">
        <v>8</v>
      </c>
    </row>
    <row r="6" spans="1:23" s="4" customFormat="1" x14ac:dyDescent="0.35">
      <c r="A6" s="4" t="s">
        <v>54</v>
      </c>
      <c r="B6" s="4" t="s">
        <v>53</v>
      </c>
      <c r="C6" s="4" t="s">
        <v>79</v>
      </c>
      <c r="D6" s="5">
        <v>44155</v>
      </c>
      <c r="E6" s="4" t="s">
        <v>15</v>
      </c>
      <c r="F6" s="4" t="s">
        <v>3</v>
      </c>
      <c r="G6" s="4" t="s">
        <v>4</v>
      </c>
      <c r="H6" s="4" t="s">
        <v>10</v>
      </c>
      <c r="I6" s="4" t="s">
        <v>10</v>
      </c>
      <c r="J6" s="5">
        <v>44182</v>
      </c>
      <c r="K6" s="5">
        <v>44228</v>
      </c>
      <c r="M6" s="4">
        <f t="shared" si="1"/>
        <v>7</v>
      </c>
      <c r="N6" s="5">
        <v>44228</v>
      </c>
      <c r="O6" s="4">
        <f t="shared" si="0"/>
        <v>10.43</v>
      </c>
      <c r="Q6" s="4" t="s">
        <v>35</v>
      </c>
    </row>
    <row r="7" spans="1:23" x14ac:dyDescent="0.35">
      <c r="A7" s="1" t="s">
        <v>55</v>
      </c>
      <c r="B7" s="1" t="s">
        <v>53</v>
      </c>
      <c r="C7" s="1" t="s">
        <v>77</v>
      </c>
      <c r="D7" s="2">
        <v>44096</v>
      </c>
      <c r="E7" s="1" t="s">
        <v>2</v>
      </c>
      <c r="F7" s="1" t="s">
        <v>3</v>
      </c>
      <c r="G7" s="1" t="s">
        <v>4</v>
      </c>
      <c r="H7" s="1" t="s">
        <v>10</v>
      </c>
      <c r="I7" s="1" t="s">
        <v>10</v>
      </c>
      <c r="J7" s="2">
        <v>44158</v>
      </c>
      <c r="K7" s="2">
        <v>44228</v>
      </c>
      <c r="M7" s="1">
        <f t="shared" si="1"/>
        <v>10</v>
      </c>
      <c r="N7" s="2">
        <v>44228</v>
      </c>
      <c r="O7" s="1">
        <f t="shared" si="0"/>
        <v>18.86</v>
      </c>
      <c r="Q7" s="1" t="s">
        <v>35</v>
      </c>
    </row>
    <row r="8" spans="1:23" x14ac:dyDescent="0.35">
      <c r="A8" s="1" t="s">
        <v>56</v>
      </c>
      <c r="B8" s="1" t="s">
        <v>53</v>
      </c>
      <c r="C8" s="1" t="s">
        <v>80</v>
      </c>
      <c r="D8" s="2">
        <v>44096</v>
      </c>
      <c r="E8" s="1" t="s">
        <v>2</v>
      </c>
      <c r="F8" s="1" t="s">
        <v>3</v>
      </c>
      <c r="G8" s="1" t="s">
        <v>4</v>
      </c>
      <c r="H8" s="1" t="s">
        <v>10</v>
      </c>
      <c r="I8" s="1" t="s">
        <v>10</v>
      </c>
      <c r="J8" s="2">
        <v>44158</v>
      </c>
      <c r="K8" s="2">
        <v>44228</v>
      </c>
      <c r="M8" s="1">
        <f t="shared" si="1"/>
        <v>10</v>
      </c>
      <c r="N8" s="2">
        <v>44228</v>
      </c>
      <c r="O8" s="1">
        <f t="shared" si="0"/>
        <v>18.86</v>
      </c>
      <c r="Q8" s="1" t="s">
        <v>35</v>
      </c>
    </row>
    <row r="9" spans="1:23" x14ac:dyDescent="0.35">
      <c r="A9" s="1" t="s">
        <v>48</v>
      </c>
      <c r="B9" s="1" t="s">
        <v>49</v>
      </c>
      <c r="C9" s="1" t="s">
        <v>78</v>
      </c>
      <c r="D9" s="2">
        <v>44144</v>
      </c>
      <c r="E9" s="1" t="s">
        <v>15</v>
      </c>
      <c r="F9" s="1" t="s">
        <v>3</v>
      </c>
      <c r="G9" s="1" t="s">
        <v>4</v>
      </c>
      <c r="H9" s="1" t="s">
        <v>5</v>
      </c>
      <c r="K9" s="3"/>
      <c r="N9" s="2">
        <v>44245</v>
      </c>
      <c r="O9" s="1">
        <f t="shared" si="0"/>
        <v>14.43</v>
      </c>
      <c r="Q9" s="1" t="s">
        <v>35</v>
      </c>
    </row>
    <row r="10" spans="1:23" x14ac:dyDescent="0.35">
      <c r="A10" s="1" t="s">
        <v>50</v>
      </c>
      <c r="B10" s="1" t="s">
        <v>49</v>
      </c>
      <c r="C10" s="1" t="s">
        <v>79</v>
      </c>
      <c r="D10" s="2">
        <v>44144</v>
      </c>
      <c r="E10" s="1" t="s">
        <v>15</v>
      </c>
      <c r="F10" s="1" t="s">
        <v>3</v>
      </c>
      <c r="G10" s="1" t="s">
        <v>4</v>
      </c>
      <c r="H10" s="1" t="s">
        <v>5</v>
      </c>
      <c r="K10" s="3"/>
      <c r="N10" s="2">
        <v>44245</v>
      </c>
      <c r="O10" s="1">
        <f t="shared" si="0"/>
        <v>14.43</v>
      </c>
      <c r="Q10" s="1" t="s">
        <v>35</v>
      </c>
    </row>
    <row r="11" spans="1:23" x14ac:dyDescent="0.35">
      <c r="A11" s="1" t="s">
        <v>51</v>
      </c>
      <c r="B11" s="1" t="s">
        <v>49</v>
      </c>
      <c r="C11" s="1" t="s">
        <v>80</v>
      </c>
      <c r="D11" s="2">
        <v>44144</v>
      </c>
      <c r="E11" s="1" t="s">
        <v>15</v>
      </c>
      <c r="F11" s="1" t="s">
        <v>3</v>
      </c>
      <c r="G11" s="1" t="s">
        <v>4</v>
      </c>
      <c r="H11" s="1" t="s">
        <v>5</v>
      </c>
      <c r="K11" s="3"/>
      <c r="N11" s="2">
        <v>44245</v>
      </c>
      <c r="O11" s="1">
        <f t="shared" si="0"/>
        <v>14.43</v>
      </c>
      <c r="Q11" s="1" t="s">
        <v>35</v>
      </c>
    </row>
    <row r="12" spans="1:23" x14ac:dyDescent="0.35">
      <c r="A12" s="1" t="s">
        <v>48</v>
      </c>
      <c r="B12" s="1" t="s">
        <v>57</v>
      </c>
      <c r="C12" s="1" t="s">
        <v>81</v>
      </c>
      <c r="D12" s="2">
        <v>44144</v>
      </c>
      <c r="E12" s="1" t="s">
        <v>15</v>
      </c>
      <c r="F12" s="1" t="s">
        <v>3</v>
      </c>
      <c r="G12" s="1" t="s">
        <v>4</v>
      </c>
      <c r="H12" s="1" t="s">
        <v>10</v>
      </c>
      <c r="I12" s="1" t="s">
        <v>10</v>
      </c>
      <c r="J12" s="2">
        <v>44258</v>
      </c>
      <c r="K12" s="2">
        <v>44270</v>
      </c>
      <c r="M12" s="1">
        <f>ROUND((K12-J12)/7, 0)</f>
        <v>2</v>
      </c>
      <c r="N12" s="2">
        <v>44270</v>
      </c>
      <c r="O12" s="1">
        <f t="shared" si="0"/>
        <v>18</v>
      </c>
      <c r="Q12" s="1" t="s">
        <v>65</v>
      </c>
      <c r="R12" s="1" t="s">
        <v>68</v>
      </c>
    </row>
    <row r="13" spans="1:23" x14ac:dyDescent="0.35">
      <c r="A13" s="1" t="s">
        <v>50</v>
      </c>
      <c r="B13" s="1" t="s">
        <v>57</v>
      </c>
      <c r="C13" s="1" t="s">
        <v>79</v>
      </c>
      <c r="D13" s="2">
        <v>44144</v>
      </c>
      <c r="E13" s="1" t="s">
        <v>15</v>
      </c>
      <c r="F13" s="1" t="s">
        <v>3</v>
      </c>
      <c r="G13" s="1" t="s">
        <v>4</v>
      </c>
      <c r="H13" s="1" t="s">
        <v>10</v>
      </c>
      <c r="I13" s="1" t="s">
        <v>10</v>
      </c>
      <c r="J13" s="2">
        <v>44258</v>
      </c>
      <c r="K13" s="2">
        <v>44270</v>
      </c>
      <c r="M13" s="1">
        <f t="shared" ref="M13:M17" si="2">ROUND((K13-J13)/7, 0)</f>
        <v>2</v>
      </c>
      <c r="N13" s="2">
        <v>44270</v>
      </c>
      <c r="O13" s="1">
        <f t="shared" si="0"/>
        <v>18</v>
      </c>
      <c r="Q13" s="1" t="s">
        <v>65</v>
      </c>
      <c r="R13" s="1" t="s">
        <v>68</v>
      </c>
    </row>
    <row r="14" spans="1:23" x14ac:dyDescent="0.35">
      <c r="A14" s="1" t="s">
        <v>51</v>
      </c>
      <c r="B14" s="1" t="s">
        <v>57</v>
      </c>
      <c r="C14" s="1" t="s">
        <v>80</v>
      </c>
      <c r="D14" s="2">
        <v>44144</v>
      </c>
      <c r="E14" s="1" t="s">
        <v>15</v>
      </c>
      <c r="F14" s="1" t="s">
        <v>3</v>
      </c>
      <c r="G14" s="1" t="s">
        <v>4</v>
      </c>
      <c r="H14" s="1" t="s">
        <v>10</v>
      </c>
      <c r="I14" s="1" t="s">
        <v>10</v>
      </c>
      <c r="J14" s="2">
        <v>44258</v>
      </c>
      <c r="K14" s="2">
        <v>44270</v>
      </c>
      <c r="M14" s="1">
        <f t="shared" si="2"/>
        <v>2</v>
      </c>
      <c r="N14" s="2">
        <v>44270</v>
      </c>
      <c r="O14" s="1">
        <f t="shared" si="0"/>
        <v>18</v>
      </c>
      <c r="Q14" s="1" t="s">
        <v>65</v>
      </c>
      <c r="R14" s="1" t="s">
        <v>68</v>
      </c>
    </row>
    <row r="15" spans="1:23" x14ac:dyDescent="0.35">
      <c r="A15" s="1" t="s">
        <v>58</v>
      </c>
      <c r="B15" s="1" t="s">
        <v>59</v>
      </c>
      <c r="C15" s="1" t="s">
        <v>78</v>
      </c>
      <c r="D15" s="2">
        <v>44144</v>
      </c>
      <c r="E15" s="1" t="s">
        <v>15</v>
      </c>
      <c r="F15" s="1" t="s">
        <v>3</v>
      </c>
      <c r="G15" s="1" t="s">
        <v>4</v>
      </c>
      <c r="H15" s="1" t="s">
        <v>10</v>
      </c>
      <c r="I15" s="1" t="s">
        <v>10</v>
      </c>
      <c r="J15" s="2">
        <v>44223</v>
      </c>
      <c r="K15" s="2">
        <v>44256</v>
      </c>
      <c r="M15" s="1">
        <f t="shared" si="2"/>
        <v>5</v>
      </c>
      <c r="N15" s="2">
        <v>44256</v>
      </c>
      <c r="O15" s="1">
        <f t="shared" si="0"/>
        <v>16</v>
      </c>
      <c r="Q15" s="1" t="s">
        <v>35</v>
      </c>
    </row>
    <row r="16" spans="1:23" x14ac:dyDescent="0.35">
      <c r="A16" s="1" t="s">
        <v>60</v>
      </c>
      <c r="B16" s="1" t="s">
        <v>59</v>
      </c>
      <c r="C16" s="1" t="s">
        <v>79</v>
      </c>
      <c r="D16" s="2">
        <v>44144</v>
      </c>
      <c r="E16" s="1" t="s">
        <v>15</v>
      </c>
      <c r="F16" s="1" t="s">
        <v>3</v>
      </c>
      <c r="G16" s="1" t="s">
        <v>4</v>
      </c>
      <c r="H16" s="1" t="s">
        <v>10</v>
      </c>
      <c r="I16" s="1" t="s">
        <v>10</v>
      </c>
      <c r="J16" s="2">
        <v>44223</v>
      </c>
      <c r="K16" s="2">
        <v>44256</v>
      </c>
      <c r="M16" s="1">
        <f t="shared" si="2"/>
        <v>5</v>
      </c>
      <c r="N16" s="2">
        <v>44256</v>
      </c>
      <c r="O16" s="1">
        <f t="shared" si="0"/>
        <v>16</v>
      </c>
      <c r="Q16" s="1" t="s">
        <v>35</v>
      </c>
    </row>
    <row r="17" spans="1:18" x14ac:dyDescent="0.35">
      <c r="A17" s="1" t="s">
        <v>61</v>
      </c>
      <c r="B17" s="1" t="s">
        <v>59</v>
      </c>
      <c r="C17" s="1" t="s">
        <v>80</v>
      </c>
      <c r="D17" s="2">
        <v>44144</v>
      </c>
      <c r="E17" s="1" t="s">
        <v>15</v>
      </c>
      <c r="F17" s="1" t="s">
        <v>3</v>
      </c>
      <c r="G17" s="1" t="s">
        <v>4</v>
      </c>
      <c r="H17" s="1" t="s">
        <v>10</v>
      </c>
      <c r="I17" s="1" t="s">
        <v>10</v>
      </c>
      <c r="J17" s="2">
        <v>44223</v>
      </c>
      <c r="K17" s="2">
        <v>44256</v>
      </c>
      <c r="M17" s="1">
        <f t="shared" si="2"/>
        <v>5</v>
      </c>
      <c r="N17" s="2">
        <v>44256</v>
      </c>
      <c r="O17" s="1">
        <f t="shared" si="0"/>
        <v>16</v>
      </c>
      <c r="Q17" s="1" t="s">
        <v>35</v>
      </c>
    </row>
    <row r="18" spans="1:18" x14ac:dyDescent="0.35">
      <c r="D18" s="2"/>
      <c r="J18" s="2"/>
      <c r="K18" s="2"/>
      <c r="N18" s="2"/>
    </row>
    <row r="19" spans="1:18" s="4" customFormat="1" x14ac:dyDescent="0.35">
      <c r="A19" s="4" t="s">
        <v>0</v>
      </c>
      <c r="B19" s="4" t="s">
        <v>1</v>
      </c>
      <c r="C19" s="4" t="s">
        <v>69</v>
      </c>
      <c r="D19" s="5">
        <v>44975</v>
      </c>
      <c r="E19" s="4" t="s">
        <v>2</v>
      </c>
      <c r="F19" s="4" t="s">
        <v>3</v>
      </c>
      <c r="G19" s="4" t="s">
        <v>4</v>
      </c>
      <c r="H19" s="4" t="s">
        <v>5</v>
      </c>
      <c r="K19" s="5">
        <v>45135</v>
      </c>
      <c r="L19" s="4">
        <f t="shared" ref="L19:L26" si="3">ROUND((K19-D19)/7, 2)</f>
        <v>22.86</v>
      </c>
      <c r="N19" s="5">
        <v>45135</v>
      </c>
      <c r="O19" s="4">
        <f t="shared" ref="O19:O26" si="4">ROUND((N19-D19)/7, 2)</f>
        <v>22.86</v>
      </c>
      <c r="P19" s="4" t="str">
        <f>IF(H19 = "SNI", ROUND((N19-J19)/7, 2), "NA")</f>
        <v>NA</v>
      </c>
      <c r="Q19" s="4" t="s">
        <v>66</v>
      </c>
      <c r="R19" s="4" t="s">
        <v>62</v>
      </c>
    </row>
    <row r="20" spans="1:18" s="4" customFormat="1" x14ac:dyDescent="0.35">
      <c r="A20" s="4" t="s">
        <v>6</v>
      </c>
      <c r="B20" s="4" t="s">
        <v>1</v>
      </c>
      <c r="C20" s="4" t="s">
        <v>70</v>
      </c>
      <c r="D20" s="5">
        <v>44975</v>
      </c>
      <c r="E20" s="4" t="s">
        <v>2</v>
      </c>
      <c r="F20" s="4" t="s">
        <v>3</v>
      </c>
      <c r="G20" s="4" t="s">
        <v>4</v>
      </c>
      <c r="H20" s="4" t="s">
        <v>5</v>
      </c>
      <c r="K20" s="5">
        <v>45135</v>
      </c>
      <c r="L20" s="4">
        <f t="shared" si="3"/>
        <v>22.86</v>
      </c>
      <c r="N20" s="5">
        <v>45135</v>
      </c>
      <c r="O20" s="4">
        <f t="shared" si="4"/>
        <v>22.86</v>
      </c>
      <c r="P20" s="4" t="str">
        <f t="shared" ref="P20:P26" si="5">IF(H20 = "SNI", ROUND((N20-J20)/7, 2), "NA")</f>
        <v>NA</v>
      </c>
      <c r="Q20" s="4" t="s">
        <v>66</v>
      </c>
    </row>
    <row r="21" spans="1:18" s="4" customFormat="1" x14ac:dyDescent="0.35">
      <c r="A21" s="4" t="s">
        <v>7</v>
      </c>
      <c r="B21" s="4" t="s">
        <v>1</v>
      </c>
      <c r="C21" s="4" t="s">
        <v>71</v>
      </c>
      <c r="D21" s="5">
        <v>44975</v>
      </c>
      <c r="E21" s="4" t="s">
        <v>2</v>
      </c>
      <c r="F21" s="4" t="s">
        <v>3</v>
      </c>
      <c r="G21" s="4" t="s">
        <v>4</v>
      </c>
      <c r="H21" s="4" t="s">
        <v>5</v>
      </c>
      <c r="K21" s="5">
        <v>45135</v>
      </c>
      <c r="L21" s="4">
        <f t="shared" si="3"/>
        <v>22.86</v>
      </c>
      <c r="N21" s="5">
        <v>45135</v>
      </c>
      <c r="O21" s="4">
        <f t="shared" si="4"/>
        <v>22.86</v>
      </c>
      <c r="P21" s="4" t="str">
        <f t="shared" si="5"/>
        <v>NA</v>
      </c>
      <c r="Q21" s="4" t="s">
        <v>66</v>
      </c>
    </row>
    <row r="22" spans="1:18" s="4" customFormat="1" x14ac:dyDescent="0.35">
      <c r="A22" s="4" t="s">
        <v>8</v>
      </c>
      <c r="B22" s="4" t="s">
        <v>1</v>
      </c>
      <c r="C22" s="4" t="s">
        <v>72</v>
      </c>
      <c r="D22" s="5">
        <v>44975</v>
      </c>
      <c r="E22" s="4" t="s">
        <v>2</v>
      </c>
      <c r="F22" s="4" t="s">
        <v>3</v>
      </c>
      <c r="G22" s="4" t="s">
        <v>4</v>
      </c>
      <c r="H22" s="4" t="s">
        <v>5</v>
      </c>
      <c r="K22" s="5">
        <v>45135</v>
      </c>
      <c r="L22" s="4">
        <f t="shared" si="3"/>
        <v>22.86</v>
      </c>
      <c r="N22" s="5">
        <v>45135</v>
      </c>
      <c r="O22" s="4">
        <f t="shared" si="4"/>
        <v>22.86</v>
      </c>
      <c r="P22" s="4" t="str">
        <f t="shared" si="5"/>
        <v>NA</v>
      </c>
      <c r="Q22" s="4" t="s">
        <v>66</v>
      </c>
      <c r="R22" s="4" t="s">
        <v>62</v>
      </c>
    </row>
    <row r="23" spans="1:18" s="4" customFormat="1" x14ac:dyDescent="0.35">
      <c r="A23" s="4" t="s">
        <v>9</v>
      </c>
      <c r="B23" s="4" t="s">
        <v>1</v>
      </c>
      <c r="C23" s="4" t="s">
        <v>73</v>
      </c>
      <c r="D23" s="5">
        <v>45024</v>
      </c>
      <c r="E23" s="4" t="s">
        <v>2</v>
      </c>
      <c r="F23" s="4" t="s">
        <v>3</v>
      </c>
      <c r="G23" s="4" t="s">
        <v>4</v>
      </c>
      <c r="H23" s="4" t="s">
        <v>10</v>
      </c>
      <c r="I23" s="4" t="s">
        <v>10</v>
      </c>
      <c r="J23" s="5">
        <v>45096</v>
      </c>
      <c r="K23" s="5">
        <v>45135</v>
      </c>
      <c r="L23" s="4">
        <f t="shared" si="3"/>
        <v>15.86</v>
      </c>
      <c r="M23" s="4">
        <f t="shared" ref="M23:M26" si="6">ROUND((K23-J23)/7, 0)</f>
        <v>6</v>
      </c>
      <c r="N23" s="5">
        <v>45135</v>
      </c>
      <c r="O23" s="4">
        <f t="shared" si="4"/>
        <v>15.86</v>
      </c>
      <c r="P23" s="4">
        <f t="shared" si="5"/>
        <v>5.57</v>
      </c>
      <c r="Q23" s="4" t="s">
        <v>66</v>
      </c>
    </row>
    <row r="24" spans="1:18" s="4" customFormat="1" x14ac:dyDescent="0.35">
      <c r="A24" s="4" t="s">
        <v>11</v>
      </c>
      <c r="B24" s="4" t="s">
        <v>1</v>
      </c>
      <c r="C24" s="4" t="s">
        <v>74</v>
      </c>
      <c r="D24" s="5">
        <v>45024</v>
      </c>
      <c r="E24" s="4" t="s">
        <v>2</v>
      </c>
      <c r="F24" s="4" t="s">
        <v>3</v>
      </c>
      <c r="G24" s="4" t="s">
        <v>4</v>
      </c>
      <c r="H24" s="4" t="s">
        <v>10</v>
      </c>
      <c r="I24" s="4" t="s">
        <v>10</v>
      </c>
      <c r="J24" s="5">
        <v>45096</v>
      </c>
      <c r="K24" s="5">
        <v>45135</v>
      </c>
      <c r="L24" s="4">
        <f t="shared" si="3"/>
        <v>15.86</v>
      </c>
      <c r="M24" s="4">
        <f t="shared" si="6"/>
        <v>6</v>
      </c>
      <c r="N24" s="5">
        <v>45135</v>
      </c>
      <c r="O24" s="4">
        <f t="shared" si="4"/>
        <v>15.86</v>
      </c>
      <c r="P24" s="4">
        <f t="shared" si="5"/>
        <v>5.57</v>
      </c>
      <c r="Q24" s="4" t="s">
        <v>66</v>
      </c>
    </row>
    <row r="25" spans="1:18" s="4" customFormat="1" x14ac:dyDescent="0.35">
      <c r="A25" s="4" t="s">
        <v>12</v>
      </c>
      <c r="B25" s="4" t="s">
        <v>1</v>
      </c>
      <c r="C25" s="4" t="s">
        <v>75</v>
      </c>
      <c r="D25" s="5">
        <v>45024</v>
      </c>
      <c r="E25" s="4" t="s">
        <v>2</v>
      </c>
      <c r="F25" s="4" t="s">
        <v>3</v>
      </c>
      <c r="G25" s="4" t="s">
        <v>4</v>
      </c>
      <c r="H25" s="4" t="s">
        <v>10</v>
      </c>
      <c r="I25" s="4" t="s">
        <v>10</v>
      </c>
      <c r="J25" s="5">
        <v>45096</v>
      </c>
      <c r="K25" s="5">
        <v>45135</v>
      </c>
      <c r="L25" s="4">
        <f t="shared" si="3"/>
        <v>15.86</v>
      </c>
      <c r="M25" s="4">
        <f t="shared" si="6"/>
        <v>6</v>
      </c>
      <c r="N25" s="5">
        <v>45135</v>
      </c>
      <c r="O25" s="4">
        <f t="shared" si="4"/>
        <v>15.86</v>
      </c>
      <c r="P25" s="4">
        <f t="shared" si="5"/>
        <v>5.57</v>
      </c>
      <c r="Q25" s="4" t="s">
        <v>66</v>
      </c>
    </row>
    <row r="26" spans="1:18" s="4" customFormat="1" x14ac:dyDescent="0.35">
      <c r="A26" s="4" t="s">
        <v>13</v>
      </c>
      <c r="B26" s="4" t="s">
        <v>1</v>
      </c>
      <c r="C26" s="4" t="s">
        <v>76</v>
      </c>
      <c r="D26" s="5">
        <v>45024</v>
      </c>
      <c r="E26" s="4" t="s">
        <v>2</v>
      </c>
      <c r="F26" s="4" t="s">
        <v>3</v>
      </c>
      <c r="G26" s="4" t="s">
        <v>4</v>
      </c>
      <c r="H26" s="4" t="s">
        <v>10</v>
      </c>
      <c r="I26" s="4" t="s">
        <v>10</v>
      </c>
      <c r="J26" s="5">
        <v>45096</v>
      </c>
      <c r="K26" s="5">
        <v>45135</v>
      </c>
      <c r="L26" s="4">
        <f t="shared" si="3"/>
        <v>15.86</v>
      </c>
      <c r="M26" s="4">
        <f t="shared" si="6"/>
        <v>6</v>
      </c>
      <c r="N26" s="5">
        <v>45135</v>
      </c>
      <c r="O26" s="4">
        <f t="shared" si="4"/>
        <v>15.86</v>
      </c>
      <c r="P26" s="4">
        <f t="shared" si="5"/>
        <v>5.57</v>
      </c>
      <c r="Q26" s="4" t="s">
        <v>66</v>
      </c>
    </row>
    <row r="28" spans="1:18" s="4" customFormat="1" x14ac:dyDescent="0.35">
      <c r="A28" s="4" t="s">
        <v>14</v>
      </c>
      <c r="B28" s="4" t="s">
        <v>1</v>
      </c>
      <c r="C28" s="4" t="s">
        <v>69</v>
      </c>
      <c r="D28" s="5">
        <v>45098</v>
      </c>
      <c r="E28" s="4" t="s">
        <v>15</v>
      </c>
      <c r="F28" s="4" t="s">
        <v>3</v>
      </c>
      <c r="G28" s="4" t="s">
        <v>4</v>
      </c>
      <c r="H28" s="4" t="s">
        <v>5</v>
      </c>
      <c r="K28" s="5">
        <v>45159</v>
      </c>
      <c r="L28" s="4">
        <f t="shared" ref="L28:L35" si="7">ROUND((K28-D28)/7, 2)</f>
        <v>8.7100000000000009</v>
      </c>
      <c r="N28" s="5">
        <v>45159</v>
      </c>
      <c r="O28" s="4">
        <f t="shared" ref="O28:O35" si="8">ROUND((N28-D28)/7, 2)</f>
        <v>8.7100000000000009</v>
      </c>
      <c r="P28" s="4" t="str">
        <f t="shared" ref="P28:P35" si="9">IF(H28 = "SNI", ROUND((N28-J28)/7, 2), "NA")</f>
        <v>NA</v>
      </c>
      <c r="Q28" s="4" t="s">
        <v>66</v>
      </c>
    </row>
    <row r="29" spans="1:18" s="4" customFormat="1" x14ac:dyDescent="0.35">
      <c r="A29" s="4" t="s">
        <v>16</v>
      </c>
      <c r="B29" s="4" t="s">
        <v>1</v>
      </c>
      <c r="C29" s="4" t="s">
        <v>70</v>
      </c>
      <c r="D29" s="5">
        <v>45098</v>
      </c>
      <c r="E29" s="4" t="s">
        <v>15</v>
      </c>
      <c r="F29" s="4" t="s">
        <v>3</v>
      </c>
      <c r="G29" s="4" t="s">
        <v>4</v>
      </c>
      <c r="H29" s="4" t="s">
        <v>5</v>
      </c>
      <c r="K29" s="5">
        <v>45159</v>
      </c>
      <c r="L29" s="4">
        <f t="shared" si="7"/>
        <v>8.7100000000000009</v>
      </c>
      <c r="N29" s="5">
        <v>45159</v>
      </c>
      <c r="O29" s="4">
        <f t="shared" si="8"/>
        <v>8.7100000000000009</v>
      </c>
      <c r="P29" s="4" t="str">
        <f t="shared" si="9"/>
        <v>NA</v>
      </c>
      <c r="Q29" s="4" t="s">
        <v>66</v>
      </c>
    </row>
    <row r="30" spans="1:18" s="4" customFormat="1" x14ac:dyDescent="0.35">
      <c r="A30" s="4" t="s">
        <v>17</v>
      </c>
      <c r="B30" s="4" t="s">
        <v>1</v>
      </c>
      <c r="C30" s="4" t="s">
        <v>71</v>
      </c>
      <c r="D30" s="5">
        <v>45098</v>
      </c>
      <c r="E30" s="4" t="s">
        <v>15</v>
      </c>
      <c r="F30" s="4" t="s">
        <v>3</v>
      </c>
      <c r="G30" s="4" t="s">
        <v>4</v>
      </c>
      <c r="H30" s="4" t="s">
        <v>5</v>
      </c>
      <c r="J30" s="5"/>
      <c r="K30" s="5">
        <v>45159</v>
      </c>
      <c r="L30" s="4">
        <f t="shared" si="7"/>
        <v>8.7100000000000009</v>
      </c>
      <c r="N30" s="5">
        <v>45159</v>
      </c>
      <c r="O30" s="4">
        <f t="shared" si="8"/>
        <v>8.7100000000000009</v>
      </c>
      <c r="P30" s="4" t="str">
        <f t="shared" si="9"/>
        <v>NA</v>
      </c>
      <c r="Q30" s="4" t="s">
        <v>66</v>
      </c>
    </row>
    <row r="31" spans="1:18" s="4" customFormat="1" x14ac:dyDescent="0.35">
      <c r="A31" s="4" t="s">
        <v>18</v>
      </c>
      <c r="B31" s="4" t="s">
        <v>1</v>
      </c>
      <c r="C31" s="4" t="s">
        <v>72</v>
      </c>
      <c r="D31" s="5">
        <v>45098</v>
      </c>
      <c r="E31" s="4" t="s">
        <v>15</v>
      </c>
      <c r="F31" s="4" t="s">
        <v>3</v>
      </c>
      <c r="G31" s="4" t="s">
        <v>4</v>
      </c>
      <c r="H31" s="4" t="s">
        <v>5</v>
      </c>
      <c r="J31" s="5"/>
      <c r="K31" s="5">
        <v>45159</v>
      </c>
      <c r="L31" s="4">
        <f t="shared" si="7"/>
        <v>8.7100000000000009</v>
      </c>
      <c r="N31" s="5">
        <v>45159</v>
      </c>
      <c r="O31" s="4">
        <f t="shared" si="8"/>
        <v>8.7100000000000009</v>
      </c>
      <c r="P31" s="4" t="str">
        <f t="shared" si="9"/>
        <v>NA</v>
      </c>
      <c r="Q31" s="4" t="s">
        <v>66</v>
      </c>
    </row>
    <row r="32" spans="1:18" s="4" customFormat="1" x14ac:dyDescent="0.35">
      <c r="A32" s="4" t="s">
        <v>19</v>
      </c>
      <c r="B32" s="4" t="s">
        <v>1</v>
      </c>
      <c r="C32" s="4" t="s">
        <v>73</v>
      </c>
      <c r="D32" s="5">
        <v>44975</v>
      </c>
      <c r="E32" s="4" t="s">
        <v>2</v>
      </c>
      <c r="F32" s="4" t="s">
        <v>3</v>
      </c>
      <c r="G32" s="4" t="s">
        <v>4</v>
      </c>
      <c r="H32" s="4" t="s">
        <v>5</v>
      </c>
      <c r="K32" s="5">
        <v>45159</v>
      </c>
      <c r="L32" s="4">
        <f t="shared" si="7"/>
        <v>26.29</v>
      </c>
      <c r="N32" s="5">
        <v>45159</v>
      </c>
      <c r="O32" s="4">
        <f t="shared" si="8"/>
        <v>26.29</v>
      </c>
      <c r="P32" s="4" t="str">
        <f t="shared" si="9"/>
        <v>NA</v>
      </c>
      <c r="Q32" s="4" t="s">
        <v>66</v>
      </c>
    </row>
    <row r="33" spans="1:17" s="4" customFormat="1" x14ac:dyDescent="0.35">
      <c r="A33" s="4" t="s">
        <v>20</v>
      </c>
      <c r="B33" s="4" t="s">
        <v>1</v>
      </c>
      <c r="C33" s="4" t="s">
        <v>74</v>
      </c>
      <c r="D33" s="5">
        <v>45006</v>
      </c>
      <c r="E33" s="4" t="s">
        <v>2</v>
      </c>
      <c r="F33" s="4" t="s">
        <v>3</v>
      </c>
      <c r="G33" s="4" t="s">
        <v>4</v>
      </c>
      <c r="H33" s="4" t="s">
        <v>5</v>
      </c>
      <c r="K33" s="5">
        <v>45159</v>
      </c>
      <c r="L33" s="4">
        <f t="shared" si="7"/>
        <v>21.86</v>
      </c>
      <c r="N33" s="5">
        <v>45159</v>
      </c>
      <c r="O33" s="4">
        <f t="shared" si="8"/>
        <v>21.86</v>
      </c>
      <c r="P33" s="4" t="str">
        <f t="shared" si="9"/>
        <v>NA</v>
      </c>
      <c r="Q33" s="4" t="s">
        <v>66</v>
      </c>
    </row>
    <row r="34" spans="1:17" s="4" customFormat="1" x14ac:dyDescent="0.35">
      <c r="A34" s="4" t="s">
        <v>21</v>
      </c>
      <c r="B34" s="4" t="s">
        <v>1</v>
      </c>
      <c r="C34" s="4" t="s">
        <v>75</v>
      </c>
      <c r="D34" s="5">
        <v>45028</v>
      </c>
      <c r="E34" s="4" t="s">
        <v>2</v>
      </c>
      <c r="F34" s="4" t="s">
        <v>3</v>
      </c>
      <c r="G34" s="4" t="s">
        <v>4</v>
      </c>
      <c r="H34" s="4" t="s">
        <v>10</v>
      </c>
      <c r="I34" s="4" t="s">
        <v>10</v>
      </c>
      <c r="J34" s="5">
        <v>45118</v>
      </c>
      <c r="K34" s="5">
        <v>45159</v>
      </c>
      <c r="L34" s="4">
        <f t="shared" si="7"/>
        <v>18.71</v>
      </c>
      <c r="M34" s="4">
        <f t="shared" ref="M34:M35" si="10">ROUND((K34-J34)/7, 0)</f>
        <v>6</v>
      </c>
      <c r="N34" s="5">
        <v>45159</v>
      </c>
      <c r="O34" s="4">
        <f t="shared" si="8"/>
        <v>18.71</v>
      </c>
      <c r="P34" s="4">
        <f t="shared" si="9"/>
        <v>5.86</v>
      </c>
      <c r="Q34" s="4" t="s">
        <v>66</v>
      </c>
    </row>
    <row r="35" spans="1:17" s="4" customFormat="1" x14ac:dyDescent="0.35">
      <c r="A35" s="4" t="s">
        <v>22</v>
      </c>
      <c r="B35" s="4" t="s">
        <v>1</v>
      </c>
      <c r="C35" s="4" t="s">
        <v>76</v>
      </c>
      <c r="D35" s="5">
        <v>45046</v>
      </c>
      <c r="E35" s="4" t="s">
        <v>2</v>
      </c>
      <c r="F35" s="4" t="s">
        <v>3</v>
      </c>
      <c r="G35" s="4" t="s">
        <v>4</v>
      </c>
      <c r="H35" s="4" t="s">
        <v>10</v>
      </c>
      <c r="I35" s="4" t="s">
        <v>10</v>
      </c>
      <c r="J35" s="5">
        <v>45118</v>
      </c>
      <c r="K35" s="5">
        <v>45159</v>
      </c>
      <c r="L35" s="4">
        <f t="shared" si="7"/>
        <v>16.14</v>
      </c>
      <c r="M35" s="4">
        <f t="shared" si="10"/>
        <v>6</v>
      </c>
      <c r="N35" s="5">
        <v>45159</v>
      </c>
      <c r="O35" s="4">
        <f t="shared" si="8"/>
        <v>16.14</v>
      </c>
      <c r="P35" s="4">
        <f t="shared" si="9"/>
        <v>5.86</v>
      </c>
      <c r="Q35" s="4" t="s">
        <v>66</v>
      </c>
    </row>
    <row r="36" spans="1:17" x14ac:dyDescent="0.35">
      <c r="D36" s="2"/>
      <c r="J36" s="2"/>
      <c r="K36" s="2"/>
      <c r="N36" s="2"/>
    </row>
    <row r="37" spans="1:17" s="4" customFormat="1" x14ac:dyDescent="0.35">
      <c r="A37" s="4" t="s">
        <v>23</v>
      </c>
      <c r="B37" s="4" t="s">
        <v>1</v>
      </c>
      <c r="C37" s="4" t="s">
        <v>69</v>
      </c>
      <c r="D37" s="5">
        <v>45050</v>
      </c>
      <c r="E37" s="4" t="s">
        <v>2</v>
      </c>
      <c r="F37" s="4" t="s">
        <v>3</v>
      </c>
      <c r="G37" s="4" t="s">
        <v>4</v>
      </c>
      <c r="H37" s="4" t="s">
        <v>5</v>
      </c>
      <c r="K37" s="5">
        <v>45174</v>
      </c>
      <c r="L37" s="4">
        <f t="shared" ref="L37:L42" si="11">ROUND((K37-D37)/7, 2)</f>
        <v>17.71</v>
      </c>
      <c r="Q37" s="4" t="s">
        <v>66</v>
      </c>
    </row>
    <row r="38" spans="1:17" s="4" customFormat="1" x14ac:dyDescent="0.35">
      <c r="A38" s="4" t="s">
        <v>24</v>
      </c>
      <c r="B38" s="4" t="s">
        <v>1</v>
      </c>
      <c r="C38" s="4" t="s">
        <v>70</v>
      </c>
      <c r="D38" s="5">
        <v>45050</v>
      </c>
      <c r="E38" s="4" t="s">
        <v>2</v>
      </c>
      <c r="F38" s="4" t="s">
        <v>3</v>
      </c>
      <c r="G38" s="4" t="s">
        <v>4</v>
      </c>
      <c r="H38" s="4" t="s">
        <v>5</v>
      </c>
      <c r="K38" s="5">
        <v>45174</v>
      </c>
      <c r="L38" s="4">
        <f t="shared" si="11"/>
        <v>17.71</v>
      </c>
      <c r="Q38" s="4" t="s">
        <v>66</v>
      </c>
    </row>
    <row r="39" spans="1:17" s="4" customFormat="1" x14ac:dyDescent="0.35">
      <c r="A39" s="4" t="s">
        <v>25</v>
      </c>
      <c r="B39" s="4" t="s">
        <v>1</v>
      </c>
      <c r="C39" s="4" t="s">
        <v>71</v>
      </c>
      <c r="D39" s="5">
        <v>45028</v>
      </c>
      <c r="E39" s="4" t="s">
        <v>2</v>
      </c>
      <c r="F39" s="4" t="s">
        <v>3</v>
      </c>
      <c r="G39" s="4" t="s">
        <v>4</v>
      </c>
      <c r="H39" s="4" t="s">
        <v>5</v>
      </c>
      <c r="K39" s="5">
        <v>45174</v>
      </c>
      <c r="L39" s="4">
        <f t="shared" si="11"/>
        <v>20.86</v>
      </c>
      <c r="Q39" s="4" t="s">
        <v>66</v>
      </c>
    </row>
    <row r="40" spans="1:17" s="4" customFormat="1" x14ac:dyDescent="0.35">
      <c r="A40" s="4" t="s">
        <v>26</v>
      </c>
      <c r="B40" s="4" t="s">
        <v>1</v>
      </c>
      <c r="C40" s="4" t="s">
        <v>72</v>
      </c>
      <c r="D40" s="5">
        <v>45098</v>
      </c>
      <c r="E40" s="4" t="s">
        <v>2</v>
      </c>
      <c r="F40" s="4" t="s">
        <v>3</v>
      </c>
      <c r="G40" s="4" t="s">
        <v>4</v>
      </c>
      <c r="H40" s="4" t="s">
        <v>5</v>
      </c>
      <c r="K40" s="5">
        <v>45174</v>
      </c>
      <c r="L40" s="4">
        <f t="shared" si="11"/>
        <v>10.86</v>
      </c>
      <c r="Q40" s="4" t="s">
        <v>66</v>
      </c>
    </row>
    <row r="41" spans="1:17" x14ac:dyDescent="0.35">
      <c r="A41" s="1" t="s">
        <v>27</v>
      </c>
      <c r="B41" s="1" t="s">
        <v>1</v>
      </c>
      <c r="C41" s="1" t="s">
        <v>73</v>
      </c>
      <c r="D41" s="2">
        <v>45098</v>
      </c>
      <c r="E41" s="1" t="s">
        <v>15</v>
      </c>
      <c r="F41" s="1" t="s">
        <v>3</v>
      </c>
      <c r="G41" s="1" t="s">
        <v>4</v>
      </c>
      <c r="H41" s="1" t="s">
        <v>5</v>
      </c>
      <c r="K41" s="2">
        <v>45174</v>
      </c>
      <c r="L41" s="1">
        <f t="shared" si="11"/>
        <v>10.86</v>
      </c>
      <c r="Q41" s="1" t="s">
        <v>66</v>
      </c>
    </row>
    <row r="42" spans="1:17" x14ac:dyDescent="0.35">
      <c r="A42" s="1" t="s">
        <v>28</v>
      </c>
      <c r="B42" s="1" t="s">
        <v>1</v>
      </c>
      <c r="C42" s="1" t="s">
        <v>74</v>
      </c>
      <c r="D42" s="2">
        <v>45073</v>
      </c>
      <c r="E42" s="1" t="s">
        <v>15</v>
      </c>
      <c r="F42" s="1" t="s">
        <v>3</v>
      </c>
      <c r="G42" s="1" t="s">
        <v>4</v>
      </c>
      <c r="H42" s="1" t="s">
        <v>5</v>
      </c>
      <c r="K42" s="2">
        <v>45174</v>
      </c>
      <c r="L42" s="1">
        <f t="shared" si="11"/>
        <v>14.43</v>
      </c>
      <c r="Q42" s="1" t="s">
        <v>66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Chang, Yu-Hsuan</dc:creator>
  <cp:lastModifiedBy>meaghan creed</cp:lastModifiedBy>
  <dcterms:created xsi:type="dcterms:W3CDTF">2024-08-12T01:34:54Z</dcterms:created>
  <dcterms:modified xsi:type="dcterms:W3CDTF">2024-08-23T12:16:31Z</dcterms:modified>
</cp:coreProperties>
</file>